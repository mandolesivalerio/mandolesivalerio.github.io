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vmandolesi\Downloads\"/>
    </mc:Choice>
  </mc:AlternateContent>
  <xr:revisionPtr revIDLastSave="156" documentId="13_ncr:1_{E3530C44-115C-4039-B344-AF129104944E}" xr6:coauthVersionLast="47" xr6:coauthVersionMax="47" xr10:uidLastSave="{FC3E0B3A-CB88-4D78-BCFB-E9185CF64262}"/>
  <bookViews>
    <workbookView xWindow="-120" yWindow="-120" windowWidth="29040" windowHeight="15720" firstSheet="3" activeTab="3" xr2:uid="{00000000-000D-0000-FFFF-FFFF00000000}"/>
  </bookViews>
  <sheets>
    <sheet name="Classifica" sheetId="1" r:id="rId1"/>
    <sheet name="Giornata 1" sheetId="2" r:id="rId2"/>
    <sheet name="Giornata 2" sheetId="3" r:id="rId3"/>
    <sheet name="Giornata 3" sheetId="4" r:id="rId4"/>
    <sheet name="Giornata 4" sheetId="5" r:id="rId5"/>
    <sheet name="Giornata 5" sheetId="6" r:id="rId6"/>
    <sheet name="Giornata 6" sheetId="7" r:id="rId7"/>
    <sheet name="Giornata 7" sheetId="8" r:id="rId8"/>
    <sheet name="Giornata 8" sheetId="9" r:id="rId9"/>
    <sheet name="Giornata 9" sheetId="10" r:id="rId10"/>
    <sheet name="Giornata 10" sheetId="11" r:id="rId11"/>
    <sheet name="Giornata 11" sheetId="12" r:id="rId12"/>
    <sheet name="Giornata 12" sheetId="13" r:id="rId13"/>
    <sheet name="Giornata 13" sheetId="14" r:id="rId14"/>
    <sheet name="Giornata 14" sheetId="15" r:id="rId15"/>
    <sheet name="Giornata 15" sheetId="16" r:id="rId16"/>
    <sheet name="Giornata 16" sheetId="17" r:id="rId17"/>
    <sheet name="Giornata 17" sheetId="18" r:id="rId18"/>
    <sheet name="Giornata 18" sheetId="19" r:id="rId19"/>
    <sheet name="Giornata 19" sheetId="20" r:id="rId20"/>
    <sheet name="Giornata 20" sheetId="21" r:id="rId21"/>
    <sheet name="Giornata 21" sheetId="22" r:id="rId22"/>
    <sheet name="Giornata 22" sheetId="23" r:id="rId23"/>
    <sheet name="Giornata 23" sheetId="24" r:id="rId24"/>
    <sheet name="Giornata 24" sheetId="25" r:id="rId25"/>
    <sheet name="Giornata 25" sheetId="26" r:id="rId26"/>
    <sheet name="Giornata 26" sheetId="27" r:id="rId27"/>
    <sheet name="Giornata 27" sheetId="28" r:id="rId28"/>
    <sheet name="Giornata 28" sheetId="29" r:id="rId29"/>
    <sheet name="Giornata 29" sheetId="30" r:id="rId30"/>
    <sheet name="Giornata 30" sheetId="31" r:id="rId31"/>
    <sheet name="Giornata 31" sheetId="32" r:id="rId32"/>
    <sheet name="Giornata 32" sheetId="33" r:id="rId33"/>
    <sheet name="Giornata 33" sheetId="34" r:id="rId34"/>
    <sheet name="Giornata 34" sheetId="35" r:id="rId35"/>
    <sheet name="Giornata 35" sheetId="36" r:id="rId36"/>
    <sheet name="Giornata 36" sheetId="37" r:id="rId37"/>
    <sheet name="Giornata 37" sheetId="38" r:id="rId38"/>
    <sheet name="Giornata 38" sheetId="39" r:id="rId39"/>
    <sheet name="Istruzioni" sheetId="40" r:id="rId40"/>
    <sheet name="Parametri" sheetId="41" r:id="rId41"/>
  </sheets>
  <definedNames>
    <definedName name="_xlnm._FilterDatabase" localSheetId="0" hidden="1">Classifica!$A$1:$C$1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N10" i="2"/>
  <c r="N9" i="2"/>
  <c r="N8" i="2"/>
  <c r="O11" i="2"/>
  <c r="L11" i="2"/>
  <c r="M11" i="2"/>
  <c r="N11" i="3"/>
  <c r="M10" i="2"/>
  <c r="O11" i="39"/>
  <c r="N11" i="39"/>
  <c r="M11" i="39"/>
  <c r="L11" i="39"/>
  <c r="O10" i="39"/>
  <c r="N10" i="39"/>
  <c r="M10" i="39"/>
  <c r="L10" i="39"/>
  <c r="O9" i="39"/>
  <c r="N9" i="39"/>
  <c r="M9" i="39"/>
  <c r="L9" i="39"/>
  <c r="O8" i="39"/>
  <c r="N8" i="39"/>
  <c r="M8" i="39"/>
  <c r="L8" i="39"/>
  <c r="O7" i="39"/>
  <c r="N7" i="39"/>
  <c r="M7" i="39"/>
  <c r="L7" i="39"/>
  <c r="O6" i="39"/>
  <c r="N6" i="39"/>
  <c r="M6" i="39"/>
  <c r="L6" i="39"/>
  <c r="O5" i="39"/>
  <c r="N5" i="39"/>
  <c r="M5" i="39"/>
  <c r="L5" i="39"/>
  <c r="O4" i="39"/>
  <c r="N4" i="39"/>
  <c r="M4" i="39"/>
  <c r="L4" i="39"/>
  <c r="O3" i="39"/>
  <c r="N3" i="39"/>
  <c r="M3" i="39"/>
  <c r="L3" i="39"/>
  <c r="O2" i="39"/>
  <c r="O12" i="39"/>
  <c r="N2" i="39"/>
  <c r="N12" i="39"/>
  <c r="M2" i="39"/>
  <c r="M12" i="39"/>
  <c r="L2" i="39"/>
  <c r="L12" i="39"/>
  <c r="O11" i="38"/>
  <c r="N11" i="38"/>
  <c r="M11" i="38"/>
  <c r="L11" i="38"/>
  <c r="O10" i="38"/>
  <c r="N10" i="38"/>
  <c r="M10" i="38"/>
  <c r="L10" i="38"/>
  <c r="O9" i="38"/>
  <c r="N9" i="38"/>
  <c r="M9" i="38"/>
  <c r="L9" i="38"/>
  <c r="O8" i="38"/>
  <c r="N8" i="38"/>
  <c r="M8" i="38"/>
  <c r="L8" i="38"/>
  <c r="O7" i="38"/>
  <c r="N7" i="38"/>
  <c r="M7" i="38"/>
  <c r="L7" i="38"/>
  <c r="O6" i="38"/>
  <c r="N6" i="38"/>
  <c r="M6" i="38"/>
  <c r="L6" i="38"/>
  <c r="O5" i="38"/>
  <c r="N5" i="38"/>
  <c r="M5" i="38"/>
  <c r="L5" i="38"/>
  <c r="O4" i="38"/>
  <c r="N4" i="38"/>
  <c r="M4" i="38"/>
  <c r="L4" i="38"/>
  <c r="O3" i="38"/>
  <c r="N3" i="38"/>
  <c r="M3" i="38"/>
  <c r="L3" i="38"/>
  <c r="O2" i="38"/>
  <c r="O12" i="38"/>
  <c r="N2" i="38"/>
  <c r="N12" i="38"/>
  <c r="M2" i="38"/>
  <c r="M12" i="38"/>
  <c r="L2" i="38"/>
  <c r="O11" i="37"/>
  <c r="N11" i="37"/>
  <c r="M11" i="37"/>
  <c r="L11" i="37"/>
  <c r="O10" i="37"/>
  <c r="N10" i="37"/>
  <c r="M10" i="37"/>
  <c r="L10" i="37"/>
  <c r="O9" i="37"/>
  <c r="N9" i="37"/>
  <c r="M9" i="37"/>
  <c r="L9" i="37"/>
  <c r="O8" i="37"/>
  <c r="N8" i="37"/>
  <c r="M8" i="37"/>
  <c r="L8" i="37"/>
  <c r="O7" i="37"/>
  <c r="N7" i="37"/>
  <c r="M7" i="37"/>
  <c r="L7" i="37"/>
  <c r="O6" i="37"/>
  <c r="N6" i="37"/>
  <c r="M6" i="37"/>
  <c r="L6" i="37"/>
  <c r="O5" i="37"/>
  <c r="N5" i="37"/>
  <c r="M5" i="37"/>
  <c r="L5" i="37"/>
  <c r="O4" i="37"/>
  <c r="N4" i="37"/>
  <c r="M4" i="37"/>
  <c r="L4" i="37"/>
  <c r="O3" i="37"/>
  <c r="N3" i="37"/>
  <c r="M3" i="37"/>
  <c r="L3" i="37"/>
  <c r="O2" i="37"/>
  <c r="O12" i="37"/>
  <c r="N2" i="37"/>
  <c r="N12" i="37"/>
  <c r="M2" i="37"/>
  <c r="M12" i="37"/>
  <c r="L2" i="37"/>
  <c r="L12" i="37"/>
  <c r="O11" i="36"/>
  <c r="N11" i="36"/>
  <c r="M11" i="36"/>
  <c r="L11" i="36"/>
  <c r="O10" i="36"/>
  <c r="N10" i="36"/>
  <c r="M10" i="36"/>
  <c r="L10" i="36"/>
  <c r="O9" i="36"/>
  <c r="N9" i="36"/>
  <c r="M9" i="36"/>
  <c r="L9" i="36"/>
  <c r="O8" i="36"/>
  <c r="N8" i="36"/>
  <c r="M8" i="36"/>
  <c r="L8" i="36"/>
  <c r="O7" i="36"/>
  <c r="N7" i="36"/>
  <c r="M7" i="36"/>
  <c r="L7" i="36"/>
  <c r="O6" i="36"/>
  <c r="N6" i="36"/>
  <c r="M6" i="36"/>
  <c r="L6" i="36"/>
  <c r="O5" i="36"/>
  <c r="N5" i="36"/>
  <c r="M5" i="36"/>
  <c r="L5" i="36"/>
  <c r="O4" i="36"/>
  <c r="N4" i="36"/>
  <c r="M4" i="36"/>
  <c r="L4" i="36"/>
  <c r="O3" i="36"/>
  <c r="N3" i="36"/>
  <c r="M3" i="36"/>
  <c r="L3" i="36"/>
  <c r="O2" i="36"/>
  <c r="O12" i="36"/>
  <c r="N2" i="36"/>
  <c r="N12" i="36"/>
  <c r="M2" i="36"/>
  <c r="M12" i="36"/>
  <c r="L2" i="36"/>
  <c r="O11" i="35"/>
  <c r="N11" i="35"/>
  <c r="M11" i="35"/>
  <c r="L11" i="35"/>
  <c r="O10" i="35"/>
  <c r="N10" i="35"/>
  <c r="M10" i="35"/>
  <c r="L10" i="35"/>
  <c r="O9" i="35"/>
  <c r="N9" i="35"/>
  <c r="M9" i="35"/>
  <c r="L9" i="35"/>
  <c r="O8" i="35"/>
  <c r="N8" i="35"/>
  <c r="M8" i="35"/>
  <c r="L8" i="35"/>
  <c r="O7" i="35"/>
  <c r="N7" i="35"/>
  <c r="M7" i="35"/>
  <c r="L7" i="35"/>
  <c r="O6" i="35"/>
  <c r="N6" i="35"/>
  <c r="M6" i="35"/>
  <c r="L6" i="35"/>
  <c r="O5" i="35"/>
  <c r="N5" i="35"/>
  <c r="M5" i="35"/>
  <c r="L5" i="35"/>
  <c r="O4" i="35"/>
  <c r="N4" i="35"/>
  <c r="M4" i="35"/>
  <c r="L4" i="35"/>
  <c r="O3" i="35"/>
  <c r="N3" i="35"/>
  <c r="M3" i="35"/>
  <c r="L3" i="35"/>
  <c r="O2" i="35"/>
  <c r="O12" i="35"/>
  <c r="N2" i="35"/>
  <c r="N12" i="35"/>
  <c r="M2" i="35"/>
  <c r="M12" i="35"/>
  <c r="L2" i="35"/>
  <c r="L12" i="35"/>
  <c r="O11" i="34"/>
  <c r="N11" i="34"/>
  <c r="M11" i="34"/>
  <c r="L11" i="34"/>
  <c r="O10" i="34"/>
  <c r="N10" i="34"/>
  <c r="M10" i="34"/>
  <c r="L10" i="34"/>
  <c r="O9" i="34"/>
  <c r="N9" i="34"/>
  <c r="M9" i="34"/>
  <c r="L9" i="34"/>
  <c r="O8" i="34"/>
  <c r="N8" i="34"/>
  <c r="M8" i="34"/>
  <c r="L8" i="34"/>
  <c r="O7" i="34"/>
  <c r="N7" i="34"/>
  <c r="M7" i="34"/>
  <c r="L7" i="34"/>
  <c r="O6" i="34"/>
  <c r="N6" i="34"/>
  <c r="M6" i="34"/>
  <c r="L6" i="34"/>
  <c r="O5" i="34"/>
  <c r="N5" i="34"/>
  <c r="M5" i="34"/>
  <c r="L5" i="34"/>
  <c r="O4" i="34"/>
  <c r="N4" i="34"/>
  <c r="M4" i="34"/>
  <c r="L4" i="34"/>
  <c r="O3" i="34"/>
  <c r="N3" i="34"/>
  <c r="M3" i="34"/>
  <c r="L3" i="34"/>
  <c r="O2" i="34"/>
  <c r="O12" i="34"/>
  <c r="N2" i="34"/>
  <c r="N12" i="34"/>
  <c r="M2" i="34"/>
  <c r="L2" i="34"/>
  <c r="O11" i="33"/>
  <c r="N11" i="33"/>
  <c r="M11" i="33"/>
  <c r="L11" i="33"/>
  <c r="O10" i="33"/>
  <c r="N10" i="33"/>
  <c r="M10" i="33"/>
  <c r="L10" i="33"/>
  <c r="O9" i="33"/>
  <c r="N9" i="33"/>
  <c r="M9" i="33"/>
  <c r="L9" i="33"/>
  <c r="O8" i="33"/>
  <c r="N8" i="33"/>
  <c r="M8" i="33"/>
  <c r="L8" i="33"/>
  <c r="O7" i="33"/>
  <c r="N7" i="33"/>
  <c r="M7" i="33"/>
  <c r="L7" i="33"/>
  <c r="O6" i="33"/>
  <c r="N6" i="33"/>
  <c r="M6" i="33"/>
  <c r="L6" i="33"/>
  <c r="O5" i="33"/>
  <c r="N5" i="33"/>
  <c r="M5" i="33"/>
  <c r="L5" i="33"/>
  <c r="O4" i="33"/>
  <c r="N4" i="33"/>
  <c r="M4" i="33"/>
  <c r="L4" i="33"/>
  <c r="O3" i="33"/>
  <c r="N3" i="33"/>
  <c r="M3" i="33"/>
  <c r="L3" i="33"/>
  <c r="O2" i="33"/>
  <c r="O12" i="33"/>
  <c r="N2" i="33"/>
  <c r="N12" i="33"/>
  <c r="M2" i="33"/>
  <c r="M12" i="33"/>
  <c r="L2" i="33"/>
  <c r="L12" i="33"/>
  <c r="O11" i="32"/>
  <c r="N11" i="32"/>
  <c r="M11" i="32"/>
  <c r="L11" i="32"/>
  <c r="O10" i="32"/>
  <c r="N10" i="32"/>
  <c r="M10" i="32"/>
  <c r="L10" i="32"/>
  <c r="O9" i="32"/>
  <c r="N9" i="32"/>
  <c r="M9" i="32"/>
  <c r="L9" i="32"/>
  <c r="O8" i="32"/>
  <c r="N8" i="32"/>
  <c r="M8" i="32"/>
  <c r="L8" i="32"/>
  <c r="O7" i="32"/>
  <c r="N7" i="32"/>
  <c r="M7" i="32"/>
  <c r="L7" i="32"/>
  <c r="O6" i="32"/>
  <c r="N6" i="32"/>
  <c r="M6" i="32"/>
  <c r="L6" i="32"/>
  <c r="O5" i="32"/>
  <c r="N5" i="32"/>
  <c r="M5" i="32"/>
  <c r="L5" i="32"/>
  <c r="O4" i="32"/>
  <c r="N4" i="32"/>
  <c r="M4" i="32"/>
  <c r="L4" i="32"/>
  <c r="O3" i="32"/>
  <c r="N3" i="32"/>
  <c r="M3" i="32"/>
  <c r="L3" i="32"/>
  <c r="O2" i="32"/>
  <c r="O12" i="32"/>
  <c r="N2" i="32"/>
  <c r="N12" i="32"/>
  <c r="M2" i="32"/>
  <c r="M12" i="32"/>
  <c r="L2" i="32"/>
  <c r="L12" i="32"/>
  <c r="O11" i="31"/>
  <c r="N11" i="31"/>
  <c r="M11" i="31"/>
  <c r="L11" i="31"/>
  <c r="O10" i="31"/>
  <c r="N10" i="31"/>
  <c r="M10" i="31"/>
  <c r="L10" i="31"/>
  <c r="O9" i="31"/>
  <c r="N9" i="31"/>
  <c r="M9" i="31"/>
  <c r="L9" i="31"/>
  <c r="O8" i="31"/>
  <c r="N8" i="31"/>
  <c r="M8" i="31"/>
  <c r="L8" i="31"/>
  <c r="O7" i="31"/>
  <c r="N7" i="31"/>
  <c r="M7" i="31"/>
  <c r="L7" i="31"/>
  <c r="O6" i="31"/>
  <c r="N6" i="31"/>
  <c r="M6" i="31"/>
  <c r="L6" i="31"/>
  <c r="O5" i="31"/>
  <c r="N5" i="31"/>
  <c r="M5" i="31"/>
  <c r="L5" i="31"/>
  <c r="O4" i="31"/>
  <c r="N4" i="31"/>
  <c r="M4" i="31"/>
  <c r="L4" i="31"/>
  <c r="O3" i="31"/>
  <c r="N3" i="31"/>
  <c r="M3" i="31"/>
  <c r="L3" i="31"/>
  <c r="O2" i="31"/>
  <c r="O12" i="31"/>
  <c r="N2" i="31"/>
  <c r="N12" i="31"/>
  <c r="M2" i="31"/>
  <c r="M12" i="31"/>
  <c r="L2" i="31"/>
  <c r="L12" i="31"/>
  <c r="O11" i="30"/>
  <c r="N11" i="30"/>
  <c r="M11" i="30"/>
  <c r="L11" i="30"/>
  <c r="O10" i="30"/>
  <c r="N10" i="30"/>
  <c r="M10" i="30"/>
  <c r="L10" i="30"/>
  <c r="O9" i="30"/>
  <c r="N9" i="30"/>
  <c r="M9" i="30"/>
  <c r="L9" i="30"/>
  <c r="O8" i="30"/>
  <c r="N8" i="30"/>
  <c r="M8" i="30"/>
  <c r="L8" i="30"/>
  <c r="O7" i="30"/>
  <c r="N7" i="30"/>
  <c r="M7" i="30"/>
  <c r="L7" i="30"/>
  <c r="O6" i="30"/>
  <c r="N6" i="30"/>
  <c r="M6" i="30"/>
  <c r="L6" i="30"/>
  <c r="O5" i="30"/>
  <c r="N5" i="30"/>
  <c r="M5" i="30"/>
  <c r="L5" i="30"/>
  <c r="O4" i="30"/>
  <c r="N4" i="30"/>
  <c r="M4" i="30"/>
  <c r="L4" i="30"/>
  <c r="O3" i="30"/>
  <c r="N3" i="30"/>
  <c r="M3" i="30"/>
  <c r="L3" i="30"/>
  <c r="O2" i="30"/>
  <c r="O12" i="30"/>
  <c r="N2" i="30"/>
  <c r="N12" i="30"/>
  <c r="M2" i="30"/>
  <c r="M12" i="30"/>
  <c r="L2" i="30"/>
  <c r="L12" i="30"/>
  <c r="O11" i="29"/>
  <c r="N11" i="29"/>
  <c r="M11" i="29"/>
  <c r="L11" i="29"/>
  <c r="O10" i="29"/>
  <c r="N10" i="29"/>
  <c r="M10" i="29"/>
  <c r="L10" i="29"/>
  <c r="O9" i="29"/>
  <c r="N9" i="29"/>
  <c r="M9" i="29"/>
  <c r="L9" i="29"/>
  <c r="O8" i="29"/>
  <c r="N8" i="29"/>
  <c r="M8" i="29"/>
  <c r="L8" i="29"/>
  <c r="O7" i="29"/>
  <c r="N7" i="29"/>
  <c r="M7" i="29"/>
  <c r="L7" i="29"/>
  <c r="O6" i="29"/>
  <c r="N6" i="29"/>
  <c r="M6" i="29"/>
  <c r="L6" i="29"/>
  <c r="O5" i="29"/>
  <c r="N5" i="29"/>
  <c r="M5" i="29"/>
  <c r="L5" i="29"/>
  <c r="O4" i="29"/>
  <c r="N4" i="29"/>
  <c r="M4" i="29"/>
  <c r="L4" i="29"/>
  <c r="O3" i="29"/>
  <c r="N3" i="29"/>
  <c r="M3" i="29"/>
  <c r="L3" i="29"/>
  <c r="O2" i="29"/>
  <c r="O12" i="29"/>
  <c r="N2" i="29"/>
  <c r="M2" i="29"/>
  <c r="M12" i="29"/>
  <c r="L2" i="29"/>
  <c r="L12" i="29"/>
  <c r="O11" i="28"/>
  <c r="N11" i="28"/>
  <c r="M11" i="28"/>
  <c r="L11" i="28"/>
  <c r="O10" i="28"/>
  <c r="N10" i="28"/>
  <c r="M10" i="28"/>
  <c r="L10" i="28"/>
  <c r="O9" i="28"/>
  <c r="N9" i="28"/>
  <c r="M9" i="28"/>
  <c r="L9" i="28"/>
  <c r="O8" i="28"/>
  <c r="N8" i="28"/>
  <c r="M8" i="28"/>
  <c r="L8" i="28"/>
  <c r="O7" i="28"/>
  <c r="N7" i="28"/>
  <c r="M7" i="28"/>
  <c r="L7" i="28"/>
  <c r="O6" i="28"/>
  <c r="N6" i="28"/>
  <c r="M6" i="28"/>
  <c r="L6" i="28"/>
  <c r="O5" i="28"/>
  <c r="N5" i="28"/>
  <c r="M5" i="28"/>
  <c r="L5" i="28"/>
  <c r="O4" i="28"/>
  <c r="N4" i="28"/>
  <c r="M4" i="28"/>
  <c r="L4" i="28"/>
  <c r="O3" i="28"/>
  <c r="N3" i="28"/>
  <c r="M3" i="28"/>
  <c r="L3" i="28"/>
  <c r="O2" i="28"/>
  <c r="O12" i="28"/>
  <c r="N2" i="28"/>
  <c r="N12" i="28"/>
  <c r="M2" i="28"/>
  <c r="M12" i="28"/>
  <c r="L2" i="28"/>
  <c r="L12" i="28"/>
  <c r="O11" i="27"/>
  <c r="N11" i="27"/>
  <c r="M11" i="27"/>
  <c r="L11" i="27"/>
  <c r="O10" i="27"/>
  <c r="N10" i="27"/>
  <c r="M10" i="27"/>
  <c r="L10" i="27"/>
  <c r="O9" i="27"/>
  <c r="N9" i="27"/>
  <c r="M9" i="27"/>
  <c r="L9" i="27"/>
  <c r="O8" i="27"/>
  <c r="N8" i="27"/>
  <c r="M8" i="27"/>
  <c r="L8" i="27"/>
  <c r="O7" i="27"/>
  <c r="N7" i="27"/>
  <c r="M7" i="27"/>
  <c r="L7" i="27"/>
  <c r="O6" i="27"/>
  <c r="N6" i="27"/>
  <c r="M6" i="27"/>
  <c r="L6" i="27"/>
  <c r="O5" i="27"/>
  <c r="N5" i="27"/>
  <c r="M5" i="27"/>
  <c r="L5" i="27"/>
  <c r="O4" i="27"/>
  <c r="N4" i="27"/>
  <c r="M4" i="27"/>
  <c r="L4" i="27"/>
  <c r="O3" i="27"/>
  <c r="N3" i="27"/>
  <c r="M3" i="27"/>
  <c r="L3" i="27"/>
  <c r="O2" i="27"/>
  <c r="O12" i="27"/>
  <c r="N2" i="27"/>
  <c r="N12" i="27"/>
  <c r="M2" i="27"/>
  <c r="M12" i="27"/>
  <c r="L2" i="27"/>
  <c r="L12" i="27"/>
  <c r="O11" i="26"/>
  <c r="N11" i="26"/>
  <c r="M11" i="26"/>
  <c r="L11" i="26"/>
  <c r="O10" i="26"/>
  <c r="N10" i="26"/>
  <c r="M10" i="26"/>
  <c r="L10" i="26"/>
  <c r="O9" i="26"/>
  <c r="N9" i="26"/>
  <c r="M9" i="26"/>
  <c r="L9" i="26"/>
  <c r="O8" i="26"/>
  <c r="N8" i="26"/>
  <c r="M8" i="26"/>
  <c r="L8" i="26"/>
  <c r="O7" i="26"/>
  <c r="N7" i="26"/>
  <c r="M7" i="26"/>
  <c r="L7" i="26"/>
  <c r="O6" i="26"/>
  <c r="N6" i="26"/>
  <c r="M6" i="26"/>
  <c r="L6" i="26"/>
  <c r="O5" i="26"/>
  <c r="N5" i="26"/>
  <c r="M5" i="26"/>
  <c r="L5" i="26"/>
  <c r="O4" i="26"/>
  <c r="N4" i="26"/>
  <c r="M4" i="26"/>
  <c r="L4" i="26"/>
  <c r="O3" i="26"/>
  <c r="N3" i="26"/>
  <c r="M3" i="26"/>
  <c r="L3" i="26"/>
  <c r="O2" i="26"/>
  <c r="O12" i="26"/>
  <c r="N2" i="26"/>
  <c r="N12" i="26"/>
  <c r="M2" i="26"/>
  <c r="M12" i="26"/>
  <c r="L2" i="26"/>
  <c r="L12" i="26"/>
  <c r="O11" i="25"/>
  <c r="N11" i="25"/>
  <c r="M11" i="25"/>
  <c r="L11" i="25"/>
  <c r="O10" i="25"/>
  <c r="N10" i="25"/>
  <c r="M10" i="25"/>
  <c r="L10" i="25"/>
  <c r="O9" i="25"/>
  <c r="N9" i="25"/>
  <c r="M9" i="25"/>
  <c r="L9" i="25"/>
  <c r="O8" i="25"/>
  <c r="N8" i="25"/>
  <c r="M8" i="25"/>
  <c r="L8" i="25"/>
  <c r="O7" i="25"/>
  <c r="N7" i="25"/>
  <c r="M7" i="25"/>
  <c r="L7" i="25"/>
  <c r="O6" i="25"/>
  <c r="N6" i="25"/>
  <c r="M6" i="25"/>
  <c r="L6" i="25"/>
  <c r="O5" i="25"/>
  <c r="N5" i="25"/>
  <c r="M5" i="25"/>
  <c r="L5" i="25"/>
  <c r="O4" i="25"/>
  <c r="N4" i="25"/>
  <c r="M4" i="25"/>
  <c r="L4" i="25"/>
  <c r="O3" i="25"/>
  <c r="N3" i="25"/>
  <c r="M3" i="25"/>
  <c r="L3" i="25"/>
  <c r="O2" i="25"/>
  <c r="O12" i="25"/>
  <c r="N2" i="25"/>
  <c r="N12" i="25"/>
  <c r="M2" i="25"/>
  <c r="M12" i="25"/>
  <c r="L2" i="25"/>
  <c r="L12" i="25"/>
  <c r="O11" i="24"/>
  <c r="N11" i="24"/>
  <c r="M11" i="24"/>
  <c r="L11" i="24"/>
  <c r="O10" i="24"/>
  <c r="N10" i="24"/>
  <c r="M10" i="24"/>
  <c r="L10" i="24"/>
  <c r="O9" i="24"/>
  <c r="N9" i="24"/>
  <c r="M9" i="24"/>
  <c r="L9" i="24"/>
  <c r="O8" i="24"/>
  <c r="N8" i="24"/>
  <c r="M8" i="24"/>
  <c r="L8" i="24"/>
  <c r="O7" i="24"/>
  <c r="N7" i="24"/>
  <c r="M7" i="24"/>
  <c r="L7" i="24"/>
  <c r="O6" i="24"/>
  <c r="N6" i="24"/>
  <c r="M6" i="24"/>
  <c r="L6" i="24"/>
  <c r="O5" i="24"/>
  <c r="N5" i="24"/>
  <c r="M5" i="24"/>
  <c r="L5" i="24"/>
  <c r="O4" i="24"/>
  <c r="N4" i="24"/>
  <c r="M4" i="24"/>
  <c r="L4" i="24"/>
  <c r="O3" i="24"/>
  <c r="N3" i="24"/>
  <c r="M3" i="24"/>
  <c r="L3" i="24"/>
  <c r="O2" i="24"/>
  <c r="O12" i="24"/>
  <c r="N2" i="24"/>
  <c r="N12" i="24"/>
  <c r="M2" i="24"/>
  <c r="M12" i="24"/>
  <c r="L2" i="24"/>
  <c r="L12" i="24"/>
  <c r="O11" i="23"/>
  <c r="N11" i="23"/>
  <c r="M11" i="23"/>
  <c r="L11" i="23"/>
  <c r="O10" i="23"/>
  <c r="N10" i="23"/>
  <c r="M10" i="23"/>
  <c r="L10" i="23"/>
  <c r="O9" i="23"/>
  <c r="N9" i="23"/>
  <c r="M9" i="23"/>
  <c r="L9" i="23"/>
  <c r="O8" i="23"/>
  <c r="N8" i="23"/>
  <c r="M8" i="23"/>
  <c r="L8" i="23"/>
  <c r="O7" i="23"/>
  <c r="N7" i="23"/>
  <c r="M7" i="23"/>
  <c r="L7" i="23"/>
  <c r="O6" i="23"/>
  <c r="N6" i="23"/>
  <c r="M6" i="23"/>
  <c r="L6" i="23"/>
  <c r="O5" i="23"/>
  <c r="N5" i="23"/>
  <c r="M5" i="23"/>
  <c r="L5" i="23"/>
  <c r="O4" i="23"/>
  <c r="N4" i="23"/>
  <c r="M4" i="23"/>
  <c r="L4" i="23"/>
  <c r="O3" i="23"/>
  <c r="N3" i="23"/>
  <c r="M3" i="23"/>
  <c r="L3" i="23"/>
  <c r="O2" i="23"/>
  <c r="O12" i="23"/>
  <c r="N2" i="23"/>
  <c r="N12" i="23"/>
  <c r="M2" i="23"/>
  <c r="M12" i="23"/>
  <c r="L2" i="23"/>
  <c r="L12" i="23"/>
  <c r="O11" i="22"/>
  <c r="N11" i="22"/>
  <c r="M11" i="22"/>
  <c r="L11" i="22"/>
  <c r="O10" i="22"/>
  <c r="N10" i="22"/>
  <c r="M10" i="22"/>
  <c r="L10" i="22"/>
  <c r="O9" i="22"/>
  <c r="N9" i="22"/>
  <c r="M9" i="22"/>
  <c r="L9" i="22"/>
  <c r="O8" i="22"/>
  <c r="N8" i="22"/>
  <c r="M8" i="22"/>
  <c r="L8" i="22"/>
  <c r="O7" i="22"/>
  <c r="N7" i="22"/>
  <c r="M7" i="22"/>
  <c r="L7" i="22"/>
  <c r="O6" i="22"/>
  <c r="N6" i="22"/>
  <c r="M6" i="22"/>
  <c r="L6" i="22"/>
  <c r="O5" i="22"/>
  <c r="N5" i="22"/>
  <c r="M5" i="22"/>
  <c r="L5" i="22"/>
  <c r="O4" i="22"/>
  <c r="N4" i="22"/>
  <c r="M4" i="22"/>
  <c r="L4" i="22"/>
  <c r="O3" i="22"/>
  <c r="N3" i="22"/>
  <c r="M3" i="22"/>
  <c r="L3" i="22"/>
  <c r="O2" i="22"/>
  <c r="O12" i="22"/>
  <c r="N2" i="22"/>
  <c r="N12" i="22"/>
  <c r="M2" i="22"/>
  <c r="M12" i="22"/>
  <c r="L2" i="22"/>
  <c r="L12" i="22"/>
  <c r="O11" i="21"/>
  <c r="N11" i="21"/>
  <c r="M11" i="21"/>
  <c r="L11" i="21"/>
  <c r="O10" i="21"/>
  <c r="N10" i="21"/>
  <c r="M10" i="21"/>
  <c r="L10" i="21"/>
  <c r="O9" i="21"/>
  <c r="N9" i="21"/>
  <c r="M9" i="21"/>
  <c r="L9" i="21"/>
  <c r="O8" i="21"/>
  <c r="N8" i="21"/>
  <c r="M8" i="21"/>
  <c r="L8" i="21"/>
  <c r="O7" i="21"/>
  <c r="N7" i="21"/>
  <c r="M7" i="21"/>
  <c r="L7" i="21"/>
  <c r="O6" i="21"/>
  <c r="N6" i="21"/>
  <c r="M6" i="21"/>
  <c r="L6" i="21"/>
  <c r="O5" i="21"/>
  <c r="N5" i="21"/>
  <c r="M5" i="21"/>
  <c r="L5" i="21"/>
  <c r="O4" i="21"/>
  <c r="N4" i="21"/>
  <c r="M4" i="21"/>
  <c r="L4" i="21"/>
  <c r="O3" i="21"/>
  <c r="N3" i="21"/>
  <c r="M3" i="21"/>
  <c r="L3" i="21"/>
  <c r="O2" i="21"/>
  <c r="O12" i="21"/>
  <c r="N2" i="21"/>
  <c r="N12" i="21"/>
  <c r="M2" i="21"/>
  <c r="M12" i="21"/>
  <c r="L2" i="21"/>
  <c r="O11" i="20"/>
  <c r="N11" i="20"/>
  <c r="M11" i="20"/>
  <c r="L11" i="20"/>
  <c r="O10" i="20"/>
  <c r="N10" i="20"/>
  <c r="M10" i="20"/>
  <c r="L10" i="20"/>
  <c r="O9" i="20"/>
  <c r="N9" i="20"/>
  <c r="M9" i="20"/>
  <c r="L9" i="20"/>
  <c r="O8" i="20"/>
  <c r="N8" i="20"/>
  <c r="M8" i="20"/>
  <c r="L8" i="20"/>
  <c r="O7" i="20"/>
  <c r="N7" i="20"/>
  <c r="M7" i="20"/>
  <c r="L7" i="20"/>
  <c r="O6" i="20"/>
  <c r="N6" i="20"/>
  <c r="M6" i="20"/>
  <c r="L6" i="20"/>
  <c r="O5" i="20"/>
  <c r="N5" i="20"/>
  <c r="M5" i="20"/>
  <c r="L5" i="20"/>
  <c r="O4" i="20"/>
  <c r="N4" i="20"/>
  <c r="M4" i="20"/>
  <c r="L4" i="20"/>
  <c r="O3" i="20"/>
  <c r="N3" i="20"/>
  <c r="M3" i="20"/>
  <c r="L3" i="20"/>
  <c r="O2" i="20"/>
  <c r="O12" i="20"/>
  <c r="N2" i="20"/>
  <c r="N12" i="20"/>
  <c r="M2" i="20"/>
  <c r="M12" i="20"/>
  <c r="L2" i="20"/>
  <c r="L12" i="20"/>
  <c r="O11" i="19"/>
  <c r="N11" i="19"/>
  <c r="M11" i="19"/>
  <c r="L11" i="19"/>
  <c r="O10" i="19"/>
  <c r="N10" i="19"/>
  <c r="M10" i="19"/>
  <c r="L10" i="19"/>
  <c r="O9" i="19"/>
  <c r="N9" i="19"/>
  <c r="M9" i="19"/>
  <c r="L9" i="19"/>
  <c r="O8" i="19"/>
  <c r="N8" i="19"/>
  <c r="M8" i="19"/>
  <c r="L8" i="19"/>
  <c r="O7" i="19"/>
  <c r="N7" i="19"/>
  <c r="M7" i="19"/>
  <c r="L7" i="19"/>
  <c r="O6" i="19"/>
  <c r="N6" i="19"/>
  <c r="M6" i="19"/>
  <c r="L6" i="19"/>
  <c r="O5" i="19"/>
  <c r="N5" i="19"/>
  <c r="M5" i="19"/>
  <c r="L5" i="19"/>
  <c r="O4" i="19"/>
  <c r="N4" i="19"/>
  <c r="M4" i="19"/>
  <c r="L4" i="19"/>
  <c r="O3" i="19"/>
  <c r="N3" i="19"/>
  <c r="M3" i="19"/>
  <c r="L3" i="19"/>
  <c r="O2" i="19"/>
  <c r="O12" i="19"/>
  <c r="N2" i="19"/>
  <c r="N12" i="19"/>
  <c r="M2" i="19"/>
  <c r="M12" i="19"/>
  <c r="L2" i="19"/>
  <c r="L12" i="19"/>
  <c r="O11" i="18"/>
  <c r="N11" i="18"/>
  <c r="M11" i="18"/>
  <c r="L11" i="18"/>
  <c r="O10" i="18"/>
  <c r="N10" i="18"/>
  <c r="M10" i="18"/>
  <c r="L10" i="18"/>
  <c r="O9" i="18"/>
  <c r="N9" i="18"/>
  <c r="M9" i="18"/>
  <c r="L9" i="18"/>
  <c r="O8" i="18"/>
  <c r="N8" i="18"/>
  <c r="M8" i="18"/>
  <c r="L8" i="18"/>
  <c r="O7" i="18"/>
  <c r="N7" i="18"/>
  <c r="M7" i="18"/>
  <c r="L7" i="18"/>
  <c r="O6" i="18"/>
  <c r="N6" i="18"/>
  <c r="M6" i="18"/>
  <c r="L6" i="18"/>
  <c r="O5" i="18"/>
  <c r="N5" i="18"/>
  <c r="M5" i="18"/>
  <c r="L5" i="18"/>
  <c r="O4" i="18"/>
  <c r="N4" i="18"/>
  <c r="M4" i="18"/>
  <c r="L4" i="18"/>
  <c r="O3" i="18"/>
  <c r="N3" i="18"/>
  <c r="M3" i="18"/>
  <c r="L3" i="18"/>
  <c r="O2" i="18"/>
  <c r="O12" i="18"/>
  <c r="N2" i="18"/>
  <c r="N12" i="18"/>
  <c r="M2" i="18"/>
  <c r="M12" i="18"/>
  <c r="L2" i="18"/>
  <c r="L12" i="18"/>
  <c r="O11" i="17"/>
  <c r="N11" i="17"/>
  <c r="M11" i="17"/>
  <c r="L11" i="17"/>
  <c r="O10" i="17"/>
  <c r="N10" i="17"/>
  <c r="M10" i="17"/>
  <c r="L10" i="17"/>
  <c r="O9" i="17"/>
  <c r="N9" i="17"/>
  <c r="M9" i="17"/>
  <c r="L9" i="17"/>
  <c r="O8" i="17"/>
  <c r="N8" i="17"/>
  <c r="M8" i="17"/>
  <c r="L8" i="17"/>
  <c r="O7" i="17"/>
  <c r="N7" i="17"/>
  <c r="M7" i="17"/>
  <c r="L7" i="17"/>
  <c r="O6" i="17"/>
  <c r="N6" i="17"/>
  <c r="M6" i="17"/>
  <c r="L6" i="17"/>
  <c r="O5" i="17"/>
  <c r="N5" i="17"/>
  <c r="M5" i="17"/>
  <c r="L5" i="17"/>
  <c r="O4" i="17"/>
  <c r="N4" i="17"/>
  <c r="M4" i="17"/>
  <c r="L4" i="17"/>
  <c r="O3" i="17"/>
  <c r="N3" i="17"/>
  <c r="M3" i="17"/>
  <c r="L3" i="17"/>
  <c r="O2" i="17"/>
  <c r="O12" i="17"/>
  <c r="N2" i="17"/>
  <c r="N12" i="17"/>
  <c r="M2" i="17"/>
  <c r="M12" i="17"/>
  <c r="L2" i="17"/>
  <c r="L12" i="17"/>
  <c r="O11" i="16"/>
  <c r="N11" i="16"/>
  <c r="M11" i="16"/>
  <c r="L11" i="16"/>
  <c r="O10" i="16"/>
  <c r="N10" i="16"/>
  <c r="M10" i="16"/>
  <c r="L10" i="16"/>
  <c r="O9" i="16"/>
  <c r="N9" i="16"/>
  <c r="M9" i="16"/>
  <c r="L9" i="16"/>
  <c r="O8" i="16"/>
  <c r="N8" i="16"/>
  <c r="M8" i="16"/>
  <c r="L8" i="16"/>
  <c r="O7" i="16"/>
  <c r="N7" i="16"/>
  <c r="M7" i="16"/>
  <c r="L7" i="16"/>
  <c r="O6" i="16"/>
  <c r="N6" i="16"/>
  <c r="M6" i="16"/>
  <c r="L6" i="16"/>
  <c r="O5" i="16"/>
  <c r="N5" i="16"/>
  <c r="M5" i="16"/>
  <c r="L5" i="16"/>
  <c r="O4" i="16"/>
  <c r="N4" i="16"/>
  <c r="M4" i="16"/>
  <c r="L4" i="16"/>
  <c r="O3" i="16"/>
  <c r="N3" i="16"/>
  <c r="M3" i="16"/>
  <c r="L3" i="16"/>
  <c r="O2" i="16"/>
  <c r="O12" i="16"/>
  <c r="N2" i="16"/>
  <c r="N12" i="16"/>
  <c r="M2" i="16"/>
  <c r="M12" i="16"/>
  <c r="L2" i="16"/>
  <c r="L12" i="16"/>
  <c r="O11" i="15"/>
  <c r="N11" i="15"/>
  <c r="M11" i="15"/>
  <c r="L11" i="15"/>
  <c r="O10" i="15"/>
  <c r="N10" i="15"/>
  <c r="M10" i="15"/>
  <c r="L10" i="15"/>
  <c r="O9" i="15"/>
  <c r="N9" i="15"/>
  <c r="M9" i="15"/>
  <c r="L9" i="15"/>
  <c r="O8" i="15"/>
  <c r="N8" i="15"/>
  <c r="M8" i="15"/>
  <c r="L8" i="15"/>
  <c r="O7" i="15"/>
  <c r="N7" i="15"/>
  <c r="M7" i="15"/>
  <c r="L7" i="15"/>
  <c r="O6" i="15"/>
  <c r="N6" i="15"/>
  <c r="M6" i="15"/>
  <c r="L6" i="15"/>
  <c r="O5" i="15"/>
  <c r="N5" i="15"/>
  <c r="M5" i="15"/>
  <c r="L5" i="15"/>
  <c r="O4" i="15"/>
  <c r="N4" i="15"/>
  <c r="M4" i="15"/>
  <c r="L4" i="15"/>
  <c r="O3" i="15"/>
  <c r="N3" i="15"/>
  <c r="M3" i="15"/>
  <c r="L3" i="15"/>
  <c r="O2" i="15"/>
  <c r="O12" i="15"/>
  <c r="N2" i="15"/>
  <c r="N12" i="15"/>
  <c r="M2" i="15"/>
  <c r="L2" i="15"/>
  <c r="L12" i="15"/>
  <c r="O11" i="14"/>
  <c r="N11" i="14"/>
  <c r="M11" i="14"/>
  <c r="L11" i="14"/>
  <c r="O10" i="14"/>
  <c r="N10" i="14"/>
  <c r="M10" i="14"/>
  <c r="L10" i="14"/>
  <c r="O9" i="14"/>
  <c r="N9" i="14"/>
  <c r="M9" i="14"/>
  <c r="L9" i="14"/>
  <c r="O8" i="14"/>
  <c r="N8" i="14"/>
  <c r="M8" i="14"/>
  <c r="L8" i="14"/>
  <c r="O7" i="14"/>
  <c r="N7" i="14"/>
  <c r="M7" i="14"/>
  <c r="L7" i="14"/>
  <c r="O6" i="14"/>
  <c r="N6" i="14"/>
  <c r="M6" i="14"/>
  <c r="L6" i="14"/>
  <c r="O5" i="14"/>
  <c r="N5" i="14"/>
  <c r="M5" i="14"/>
  <c r="L5" i="14"/>
  <c r="O4" i="14"/>
  <c r="N4" i="14"/>
  <c r="M4" i="14"/>
  <c r="L4" i="14"/>
  <c r="O3" i="14"/>
  <c r="N3" i="14"/>
  <c r="M3" i="14"/>
  <c r="L3" i="14"/>
  <c r="O2" i="14"/>
  <c r="O12" i="14"/>
  <c r="N2" i="14"/>
  <c r="N12" i="14"/>
  <c r="M2" i="14"/>
  <c r="L2" i="14"/>
  <c r="L12" i="14"/>
  <c r="O11" i="13"/>
  <c r="N11" i="13"/>
  <c r="M11" i="13"/>
  <c r="L11" i="13"/>
  <c r="O10" i="13"/>
  <c r="N10" i="13"/>
  <c r="M10" i="13"/>
  <c r="L10" i="13"/>
  <c r="O9" i="13"/>
  <c r="N9" i="13"/>
  <c r="M9" i="13"/>
  <c r="L9" i="13"/>
  <c r="O8" i="13"/>
  <c r="N8" i="13"/>
  <c r="M8" i="13"/>
  <c r="L8" i="13"/>
  <c r="O7" i="13"/>
  <c r="N7" i="13"/>
  <c r="M7" i="13"/>
  <c r="L7" i="13"/>
  <c r="O6" i="13"/>
  <c r="N6" i="13"/>
  <c r="M6" i="13"/>
  <c r="L6" i="13"/>
  <c r="O5" i="13"/>
  <c r="N5" i="13"/>
  <c r="M5" i="13"/>
  <c r="L5" i="13"/>
  <c r="O4" i="13"/>
  <c r="N4" i="13"/>
  <c r="M4" i="13"/>
  <c r="L4" i="13"/>
  <c r="O3" i="13"/>
  <c r="N3" i="13"/>
  <c r="M3" i="13"/>
  <c r="L3" i="13"/>
  <c r="O2" i="13"/>
  <c r="O12" i="13"/>
  <c r="N2" i="13"/>
  <c r="N12" i="13"/>
  <c r="M2" i="13"/>
  <c r="M12" i="13"/>
  <c r="L2" i="13"/>
  <c r="O11" i="12"/>
  <c r="N11" i="12"/>
  <c r="M11" i="12"/>
  <c r="L11" i="12"/>
  <c r="O10" i="12"/>
  <c r="N10" i="12"/>
  <c r="M10" i="12"/>
  <c r="L10" i="12"/>
  <c r="O9" i="12"/>
  <c r="N9" i="12"/>
  <c r="M9" i="12"/>
  <c r="L9" i="12"/>
  <c r="O8" i="12"/>
  <c r="N8" i="12"/>
  <c r="M8" i="12"/>
  <c r="L8" i="12"/>
  <c r="O7" i="12"/>
  <c r="N7" i="12"/>
  <c r="M7" i="12"/>
  <c r="L7" i="12"/>
  <c r="O6" i="12"/>
  <c r="N6" i="12"/>
  <c r="M6" i="12"/>
  <c r="L6" i="12"/>
  <c r="O5" i="12"/>
  <c r="N5" i="12"/>
  <c r="M5" i="12"/>
  <c r="L5" i="12"/>
  <c r="O4" i="12"/>
  <c r="N4" i="12"/>
  <c r="M4" i="12"/>
  <c r="L4" i="12"/>
  <c r="O3" i="12"/>
  <c r="N3" i="12"/>
  <c r="M3" i="12"/>
  <c r="L3" i="12"/>
  <c r="O2" i="12"/>
  <c r="O12" i="12"/>
  <c r="N2" i="12"/>
  <c r="N12" i="12"/>
  <c r="M2" i="12"/>
  <c r="L2" i="12"/>
  <c r="L12" i="12"/>
  <c r="O11" i="11"/>
  <c r="N11" i="11"/>
  <c r="M11" i="11"/>
  <c r="L11" i="11"/>
  <c r="O10" i="11"/>
  <c r="N10" i="11"/>
  <c r="M10" i="11"/>
  <c r="L10" i="11"/>
  <c r="O9" i="11"/>
  <c r="N9" i="11"/>
  <c r="M9" i="11"/>
  <c r="L9" i="11"/>
  <c r="O8" i="11"/>
  <c r="N8" i="11"/>
  <c r="M8" i="11"/>
  <c r="L8" i="11"/>
  <c r="O7" i="11"/>
  <c r="N7" i="11"/>
  <c r="M7" i="11"/>
  <c r="L7" i="11"/>
  <c r="O6" i="11"/>
  <c r="N6" i="11"/>
  <c r="M6" i="11"/>
  <c r="L6" i="11"/>
  <c r="O5" i="11"/>
  <c r="N5" i="11"/>
  <c r="M5" i="11"/>
  <c r="L5" i="11"/>
  <c r="O4" i="11"/>
  <c r="N4" i="11"/>
  <c r="M4" i="11"/>
  <c r="L4" i="11"/>
  <c r="O3" i="11"/>
  <c r="N3" i="11"/>
  <c r="M3" i="11"/>
  <c r="L3" i="11"/>
  <c r="O2" i="11"/>
  <c r="O12" i="11"/>
  <c r="N2" i="11"/>
  <c r="N12" i="11"/>
  <c r="M2" i="11"/>
  <c r="L2" i="11"/>
  <c r="L12" i="11"/>
  <c r="O11" i="10"/>
  <c r="N11" i="10"/>
  <c r="M11" i="10"/>
  <c r="L11" i="10"/>
  <c r="O10" i="10"/>
  <c r="N10" i="10"/>
  <c r="M10" i="10"/>
  <c r="L10" i="10"/>
  <c r="O9" i="10"/>
  <c r="N9" i="10"/>
  <c r="M9" i="10"/>
  <c r="L9" i="10"/>
  <c r="O8" i="10"/>
  <c r="N8" i="10"/>
  <c r="M8" i="10"/>
  <c r="L8" i="10"/>
  <c r="O7" i="10"/>
  <c r="N7" i="10"/>
  <c r="M7" i="10"/>
  <c r="L7" i="10"/>
  <c r="O6" i="10"/>
  <c r="N6" i="10"/>
  <c r="M6" i="10"/>
  <c r="L6" i="10"/>
  <c r="O5" i="10"/>
  <c r="N5" i="10"/>
  <c r="M5" i="10"/>
  <c r="L5" i="10"/>
  <c r="O4" i="10"/>
  <c r="N4" i="10"/>
  <c r="M4" i="10"/>
  <c r="L4" i="10"/>
  <c r="O3" i="10"/>
  <c r="N3" i="10"/>
  <c r="M3" i="10"/>
  <c r="L3" i="10"/>
  <c r="O2" i="10"/>
  <c r="O12" i="10"/>
  <c r="N2" i="10"/>
  <c r="N12" i="10"/>
  <c r="M2" i="10"/>
  <c r="L2" i="10"/>
  <c r="L12" i="10"/>
  <c r="O11" i="9"/>
  <c r="N11" i="9"/>
  <c r="M11" i="9"/>
  <c r="L11" i="9"/>
  <c r="O10" i="9"/>
  <c r="N10" i="9"/>
  <c r="M10" i="9"/>
  <c r="L10" i="9"/>
  <c r="O9" i="9"/>
  <c r="N9" i="9"/>
  <c r="M9" i="9"/>
  <c r="L9" i="9"/>
  <c r="O8" i="9"/>
  <c r="N8" i="9"/>
  <c r="M8" i="9"/>
  <c r="L8" i="9"/>
  <c r="O7" i="9"/>
  <c r="N7" i="9"/>
  <c r="M7" i="9"/>
  <c r="L7" i="9"/>
  <c r="O6" i="9"/>
  <c r="N6" i="9"/>
  <c r="M6" i="9"/>
  <c r="L6" i="9"/>
  <c r="O5" i="9"/>
  <c r="N5" i="9"/>
  <c r="M5" i="9"/>
  <c r="L5" i="9"/>
  <c r="O4" i="9"/>
  <c r="N4" i="9"/>
  <c r="M4" i="9"/>
  <c r="L4" i="9"/>
  <c r="O3" i="9"/>
  <c r="N3" i="9"/>
  <c r="M3" i="9"/>
  <c r="L3" i="9"/>
  <c r="O2" i="9"/>
  <c r="O12" i="9"/>
  <c r="N2" i="9"/>
  <c r="N12" i="9"/>
  <c r="M2" i="9"/>
  <c r="M12" i="9"/>
  <c r="L2" i="9"/>
  <c r="L12" i="9"/>
  <c r="O11" i="8"/>
  <c r="N11" i="8"/>
  <c r="M11" i="8"/>
  <c r="L11" i="8"/>
  <c r="O10" i="8"/>
  <c r="N10" i="8"/>
  <c r="M10" i="8"/>
  <c r="L10" i="8"/>
  <c r="O9" i="8"/>
  <c r="N9" i="8"/>
  <c r="M9" i="8"/>
  <c r="L9" i="8"/>
  <c r="O8" i="8"/>
  <c r="N8" i="8"/>
  <c r="M8" i="8"/>
  <c r="L8" i="8"/>
  <c r="O7" i="8"/>
  <c r="N7" i="8"/>
  <c r="M7" i="8"/>
  <c r="L7" i="8"/>
  <c r="O6" i="8"/>
  <c r="N6" i="8"/>
  <c r="M6" i="8"/>
  <c r="L6" i="8"/>
  <c r="O5" i="8"/>
  <c r="N5" i="8"/>
  <c r="M5" i="8"/>
  <c r="L5" i="8"/>
  <c r="O4" i="8"/>
  <c r="N4" i="8"/>
  <c r="M4" i="8"/>
  <c r="L4" i="8"/>
  <c r="O3" i="8"/>
  <c r="N3" i="8"/>
  <c r="M3" i="8"/>
  <c r="L3" i="8"/>
  <c r="O2" i="8"/>
  <c r="O12" i="8"/>
  <c r="N2" i="8"/>
  <c r="N12" i="8"/>
  <c r="M2" i="8"/>
  <c r="L2" i="8"/>
  <c r="O11" i="7"/>
  <c r="N11" i="7"/>
  <c r="M11" i="7"/>
  <c r="L11" i="7"/>
  <c r="O10" i="7"/>
  <c r="N10" i="7"/>
  <c r="M10" i="7"/>
  <c r="L10" i="7"/>
  <c r="O9" i="7"/>
  <c r="N9" i="7"/>
  <c r="M9" i="7"/>
  <c r="L9" i="7"/>
  <c r="O8" i="7"/>
  <c r="N8" i="7"/>
  <c r="M8" i="7"/>
  <c r="L8" i="7"/>
  <c r="O7" i="7"/>
  <c r="N7" i="7"/>
  <c r="M7" i="7"/>
  <c r="L7" i="7"/>
  <c r="O6" i="7"/>
  <c r="N6" i="7"/>
  <c r="M6" i="7"/>
  <c r="L6" i="7"/>
  <c r="O5" i="7"/>
  <c r="N5" i="7"/>
  <c r="M5" i="7"/>
  <c r="L5" i="7"/>
  <c r="O4" i="7"/>
  <c r="N4" i="7"/>
  <c r="M4" i="7"/>
  <c r="L4" i="7"/>
  <c r="O3" i="7"/>
  <c r="N3" i="7"/>
  <c r="M3" i="7"/>
  <c r="L3" i="7"/>
  <c r="O2" i="7"/>
  <c r="O12" i="7"/>
  <c r="N2" i="7"/>
  <c r="N12" i="7"/>
  <c r="M2" i="7"/>
  <c r="M12" i="7"/>
  <c r="L2" i="7"/>
  <c r="O11" i="6"/>
  <c r="N11" i="6"/>
  <c r="M11" i="6"/>
  <c r="L11" i="6"/>
  <c r="O10" i="6"/>
  <c r="N10" i="6"/>
  <c r="M10" i="6"/>
  <c r="L10" i="6"/>
  <c r="O9" i="6"/>
  <c r="N9" i="6"/>
  <c r="M9" i="6"/>
  <c r="L9" i="6"/>
  <c r="O8" i="6"/>
  <c r="N8" i="6"/>
  <c r="M8" i="6"/>
  <c r="L8" i="6"/>
  <c r="O7" i="6"/>
  <c r="N7" i="6"/>
  <c r="M7" i="6"/>
  <c r="L7" i="6"/>
  <c r="O6" i="6"/>
  <c r="N6" i="6"/>
  <c r="M6" i="6"/>
  <c r="L6" i="6"/>
  <c r="O5" i="6"/>
  <c r="N5" i="6"/>
  <c r="M5" i="6"/>
  <c r="L5" i="6"/>
  <c r="O4" i="6"/>
  <c r="N4" i="6"/>
  <c r="M4" i="6"/>
  <c r="L4" i="6"/>
  <c r="O3" i="6"/>
  <c r="N3" i="6"/>
  <c r="M3" i="6"/>
  <c r="L3" i="6"/>
  <c r="O2" i="6"/>
  <c r="O12" i="6"/>
  <c r="N2" i="6"/>
  <c r="N12" i="6"/>
  <c r="M2" i="6"/>
  <c r="M12" i="6"/>
  <c r="L2" i="6"/>
  <c r="O11" i="5"/>
  <c r="N11" i="5"/>
  <c r="M11" i="5"/>
  <c r="L11" i="5"/>
  <c r="O10" i="5"/>
  <c r="N10" i="5"/>
  <c r="M10" i="5"/>
  <c r="L10" i="5"/>
  <c r="O9" i="5"/>
  <c r="N9" i="5"/>
  <c r="M9" i="5"/>
  <c r="L9" i="5"/>
  <c r="O8" i="5"/>
  <c r="N8" i="5"/>
  <c r="M8" i="5"/>
  <c r="L8" i="5"/>
  <c r="O7" i="5"/>
  <c r="N7" i="5"/>
  <c r="M7" i="5"/>
  <c r="L7" i="5"/>
  <c r="O6" i="5"/>
  <c r="N6" i="5"/>
  <c r="M6" i="5"/>
  <c r="L6" i="5"/>
  <c r="O5" i="5"/>
  <c r="N5" i="5"/>
  <c r="M5" i="5"/>
  <c r="L5" i="5"/>
  <c r="O4" i="5"/>
  <c r="N4" i="5"/>
  <c r="M4" i="5"/>
  <c r="L4" i="5"/>
  <c r="O3" i="5"/>
  <c r="N3" i="5"/>
  <c r="M3" i="5"/>
  <c r="L3" i="5"/>
  <c r="O2" i="5"/>
  <c r="O12" i="5"/>
  <c r="N2" i="5"/>
  <c r="N12" i="5"/>
  <c r="M2" i="5"/>
  <c r="M12" i="5"/>
  <c r="L2" i="5"/>
  <c r="L12" i="5"/>
  <c r="O11" i="4"/>
  <c r="N11" i="4"/>
  <c r="M11" i="4"/>
  <c r="L11" i="4"/>
  <c r="O10" i="4"/>
  <c r="N10" i="4"/>
  <c r="M10" i="4"/>
  <c r="L10" i="4"/>
  <c r="O9" i="4"/>
  <c r="N9" i="4"/>
  <c r="M9" i="4"/>
  <c r="L9" i="4"/>
  <c r="O8" i="4"/>
  <c r="N8" i="4"/>
  <c r="M8" i="4"/>
  <c r="L8" i="4"/>
  <c r="O7" i="4"/>
  <c r="N7" i="4"/>
  <c r="M7" i="4"/>
  <c r="L7" i="4"/>
  <c r="O6" i="4"/>
  <c r="N6" i="4"/>
  <c r="M6" i="4"/>
  <c r="L6" i="4"/>
  <c r="O5" i="4"/>
  <c r="N5" i="4"/>
  <c r="M5" i="4"/>
  <c r="L5" i="4"/>
  <c r="O4" i="4"/>
  <c r="N4" i="4"/>
  <c r="M4" i="4"/>
  <c r="L4" i="4"/>
  <c r="O3" i="4"/>
  <c r="N3" i="4"/>
  <c r="M3" i="4"/>
  <c r="L3" i="4"/>
  <c r="O2" i="4"/>
  <c r="O12" i="4"/>
  <c r="N2" i="4"/>
  <c r="N12" i="4"/>
  <c r="M2" i="4"/>
  <c r="L2" i="4"/>
  <c r="L12" i="4"/>
  <c r="O11" i="3"/>
  <c r="M11" i="3"/>
  <c r="L11" i="3"/>
  <c r="O10" i="3"/>
  <c r="N10" i="3"/>
  <c r="M10" i="3"/>
  <c r="L10" i="3"/>
  <c r="O9" i="3"/>
  <c r="N9" i="3"/>
  <c r="M9" i="3"/>
  <c r="L9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L4" i="3"/>
  <c r="O3" i="3"/>
  <c r="N3" i="3"/>
  <c r="M3" i="3"/>
  <c r="L3" i="3"/>
  <c r="O2" i="3"/>
  <c r="O12" i="3"/>
  <c r="N2" i="3"/>
  <c r="N12" i="3"/>
  <c r="M2" i="3"/>
  <c r="M12" i="3"/>
  <c r="L2" i="3"/>
  <c r="L12" i="3"/>
  <c r="O10" i="2"/>
  <c r="L10" i="2"/>
  <c r="O9" i="2"/>
  <c r="M9" i="2"/>
  <c r="L9" i="2"/>
  <c r="O8" i="2"/>
  <c r="M8" i="2"/>
  <c r="L8" i="2"/>
  <c r="O7" i="2"/>
  <c r="N7" i="2"/>
  <c r="M7" i="2"/>
  <c r="L7" i="2"/>
  <c r="O6" i="2"/>
  <c r="N6" i="2"/>
  <c r="M6" i="2"/>
  <c r="L6" i="2"/>
  <c r="O5" i="2"/>
  <c r="N5" i="2"/>
  <c r="M5" i="2"/>
  <c r="L5" i="2"/>
  <c r="O4" i="2"/>
  <c r="N4" i="2"/>
  <c r="M4" i="2"/>
  <c r="L4" i="2"/>
  <c r="O3" i="2"/>
  <c r="N3" i="2"/>
  <c r="M3" i="2"/>
  <c r="L3" i="2"/>
  <c r="O2" i="2"/>
  <c r="O12" i="2"/>
  <c r="B4" i="1"/>
  <c r="N2" i="2"/>
  <c r="N12" i="2"/>
  <c r="M2" i="2"/>
  <c r="L2" i="2"/>
  <c r="L12" i="2"/>
  <c r="L12" i="6"/>
  <c r="L12" i="38"/>
  <c r="L12" i="36"/>
  <c r="M12" i="2"/>
  <c r="M12" i="34"/>
  <c r="L12" i="7"/>
  <c r="L12" i="34"/>
  <c r="L12" i="21"/>
  <c r="M12" i="4"/>
  <c r="M12" i="15"/>
  <c r="N12" i="29"/>
  <c r="B5" i="1"/>
  <c r="L12" i="13"/>
  <c r="L12" i="8"/>
  <c r="M12" i="8"/>
  <c r="M12" i="10"/>
  <c r="M12" i="11"/>
  <c r="M12" i="14"/>
  <c r="M12" i="12"/>
  <c r="B3" i="1"/>
  <c r="B2" i="1"/>
  <c r="C3" i="1"/>
  <c r="C5" i="1"/>
  <c r="C4" i="1"/>
  <c r="C2" i="1"/>
</calcChain>
</file>

<file path=xl/sharedStrings.xml><?xml version="1.0" encoding="utf-8"?>
<sst xmlns="http://schemas.openxmlformats.org/spreadsheetml/2006/main" count="1012" uniqueCount="420">
  <si>
    <t>Giocatore</t>
  </si>
  <si>
    <t>Punti Totali</t>
  </si>
  <si>
    <t>Posizione</t>
  </si>
  <si>
    <t>Dani</t>
  </si>
  <si>
    <t>Ale</t>
  </si>
  <si>
    <t>Mando</t>
  </si>
  <si>
    <t>Dipa</t>
  </si>
  <si>
    <t>Partita</t>
  </si>
  <si>
    <t>Gol Casa Reale</t>
  </si>
  <si>
    <t>Gol Ospite Reale</t>
  </si>
  <si>
    <t>Ale Casa</t>
  </si>
  <si>
    <t>Ale Ospite</t>
  </si>
  <si>
    <t>Dani Casa</t>
  </si>
  <si>
    <t>Dani Ospite</t>
  </si>
  <si>
    <t>Dipa Casa</t>
  </si>
  <si>
    <t>Dipa Ospite</t>
  </si>
  <si>
    <t>Mando Casa</t>
  </si>
  <si>
    <t>Mando Ospite</t>
  </si>
  <si>
    <t>Punti Ale</t>
  </si>
  <si>
    <t>Punti Dani</t>
  </si>
  <si>
    <t>Punti Dipa</t>
  </si>
  <si>
    <t>Punti Mando</t>
  </si>
  <si>
    <t>Atalanta-Sassuolo</t>
  </si>
  <si>
    <t>Bologna-Lazio</t>
  </si>
  <si>
    <t>Frosinone-Juventus</t>
  </si>
  <si>
    <t>Genoa-Napoli</t>
  </si>
  <si>
    <t>Inter-Monza</t>
  </si>
  <si>
    <t>Parma-Cagliari</t>
  </si>
  <si>
    <t>Roma-Fiorentina</t>
  </si>
  <si>
    <t>Torino-Milan</t>
  </si>
  <si>
    <t>Udinese-Como</t>
  </si>
  <si>
    <t>Venezia-Lecce</t>
  </si>
  <si>
    <t>Totale giornata</t>
  </si>
  <si>
    <t>Atalanta-Bologna</t>
  </si>
  <si>
    <t>Cagliari-Inter</t>
  </si>
  <si>
    <t>Fiorentina-Frosinone</t>
  </si>
  <si>
    <t>Juventus-Parma</t>
  </si>
  <si>
    <t>Lazio-Genoa</t>
  </si>
  <si>
    <t>Lecce-Roma</t>
  </si>
  <si>
    <t>Milan-Venezia</t>
  </si>
  <si>
    <t>Monza-Udinese</t>
  </si>
  <si>
    <t>Napoli-Como</t>
  </si>
  <si>
    <t>Sassuolo-Torino</t>
  </si>
  <si>
    <t>Bologna-Sassuolo</t>
  </si>
  <si>
    <t>Cagliari-Lecce</t>
  </si>
  <si>
    <t>Fiorentina-Torino</t>
  </si>
  <si>
    <t>Frosinone-Venezia</t>
  </si>
  <si>
    <t>Genoa-Como</t>
  </si>
  <si>
    <t>Inter-Napoli</t>
  </si>
  <si>
    <t>Juventus-Milan</t>
  </si>
  <si>
    <t>Parma-Monza</t>
  </si>
  <si>
    <t>Roma-Atalanta</t>
  </si>
  <si>
    <t>Udinese-Lazio</t>
  </si>
  <si>
    <t>Atalanta-Cagliari</t>
  </si>
  <si>
    <t>Como-Parma</t>
  </si>
  <si>
    <t>Genoa-Frosinone</t>
  </si>
  <si>
    <t>Inter-Udinese</t>
  </si>
  <si>
    <t>Lazio-Milan</t>
  </si>
  <si>
    <t>Lecce-Monza</t>
  </si>
  <si>
    <t>Napoli-Bologna</t>
  </si>
  <si>
    <t>Sassuolo-Juventus</t>
  </si>
  <si>
    <t>Torino-Roma</t>
  </si>
  <si>
    <t>Venezia-Fiorentina</t>
  </si>
  <si>
    <t>Bologna-Torino</t>
  </si>
  <si>
    <t>Fiorentina-Napoli</t>
  </si>
  <si>
    <t>Frosinone-Como</t>
  </si>
  <si>
    <t>Juventus-Atalanta</t>
  </si>
  <si>
    <t>Milan-Lecce</t>
  </si>
  <si>
    <t>Monza-Sassuolo</t>
  </si>
  <si>
    <t>Parma-Genoa</t>
  </si>
  <si>
    <t>Roma-Inter</t>
  </si>
  <si>
    <t>Udinese-Cagliari</t>
  </si>
  <si>
    <t>Venezia-Lazio</t>
  </si>
  <si>
    <t>Atalanta-Venezia</t>
  </si>
  <si>
    <t>Cagliari-Juventus</t>
  </si>
  <si>
    <t>Como-Roma</t>
  </si>
  <si>
    <t>Genoa-Fiorentina</t>
  </si>
  <si>
    <t>Inter-Parma</t>
  </si>
  <si>
    <t>Lazio-Monza</t>
  </si>
  <si>
    <t>Lecce-Bologna</t>
  </si>
  <si>
    <t>Napoli-Frosinone</t>
  </si>
  <si>
    <t>Sassuolo-Milan</t>
  </si>
  <si>
    <t>Torino-Udinese</t>
  </si>
  <si>
    <t>Bologna-Inter</t>
  </si>
  <si>
    <t>Fiorentina-Como</t>
  </si>
  <si>
    <t>Frosinone-Sassuolo</t>
  </si>
  <si>
    <t>Juventus-Lazio</t>
  </si>
  <si>
    <t>Milan-Atalanta</t>
  </si>
  <si>
    <t>Monza-Cagliari</t>
  </si>
  <si>
    <t>Parma-Torino</t>
  </si>
  <si>
    <t>Roma-Genoa</t>
  </si>
  <si>
    <t>Udinese-Lecce</t>
  </si>
  <si>
    <t>Venezia-Napoli</t>
  </si>
  <si>
    <t>Atalanta-Frosinone</t>
  </si>
  <si>
    <t>Cagliari-Bologna</t>
  </si>
  <si>
    <t>Como-Sassuolo</t>
  </si>
  <si>
    <t>Genoa-Venezia</t>
  </si>
  <si>
    <t>Inter-Fiorentina</t>
  </si>
  <si>
    <t>Lazio-Parma</t>
  </si>
  <si>
    <t>Lecce-Juventus</t>
  </si>
  <si>
    <t>Napoli-Roma</t>
  </si>
  <si>
    <t>Torino-Monza</t>
  </si>
  <si>
    <t>Udinese-Milan</t>
  </si>
  <si>
    <t>Fiorentina-Atalanta</t>
  </si>
  <si>
    <t>Frosinone-Lecce</t>
  </si>
  <si>
    <t>Genoa-Juventus</t>
  </si>
  <si>
    <t>Milan-Bologna</t>
  </si>
  <si>
    <t>Monza-Napoli</t>
  </si>
  <si>
    <t>Parma-Udinese</t>
  </si>
  <si>
    <t>Roma-Cagliari</t>
  </si>
  <si>
    <t>Sassuolo-Lazio</t>
  </si>
  <si>
    <t>Torino-Como</t>
  </si>
  <si>
    <t>Venezia-Inter</t>
  </si>
  <si>
    <t>Atalanta-Parma</t>
  </si>
  <si>
    <t>Bologna-Monza</t>
  </si>
  <si>
    <t>Como-Venezia</t>
  </si>
  <si>
    <t>Frosinone-Torino</t>
  </si>
  <si>
    <t>Juventus-Napoli</t>
  </si>
  <si>
    <t>Lazio-Cagliari</t>
  </si>
  <si>
    <t>Lecce-Genoa</t>
  </si>
  <si>
    <t>Milan-Inter</t>
  </si>
  <si>
    <t>Sassuolo-Fiorentina</t>
  </si>
  <si>
    <t>Udinese-Roma</t>
  </si>
  <si>
    <t>Cagliari-Frosinone</t>
  </si>
  <si>
    <t>Fiorentina-Juventus</t>
  </si>
  <si>
    <t>Genoa-Milan</t>
  </si>
  <si>
    <t>Inter-Como</t>
  </si>
  <si>
    <t>Monza-Atalanta</t>
  </si>
  <si>
    <t>Napoli-Lazio</t>
  </si>
  <si>
    <t>Parma-Bologna</t>
  </si>
  <si>
    <t>Roma-Sassuolo</t>
  </si>
  <si>
    <t>Torino-Lecce</t>
  </si>
  <si>
    <t>Venezia-Udinese</t>
  </si>
  <si>
    <t>Atalanta-Inter</t>
  </si>
  <si>
    <t>Bologna-Udinese</t>
  </si>
  <si>
    <t>Como-Cagliari</t>
  </si>
  <si>
    <t>Juventus-Venezia</t>
  </si>
  <si>
    <t>Lazio-Lecce</t>
  </si>
  <si>
    <t>Milan-Frosinone</t>
  </si>
  <si>
    <t>Monza-Fiorentina</t>
  </si>
  <si>
    <t>Napoli-Torino</t>
  </si>
  <si>
    <t>Parma-Roma</t>
  </si>
  <si>
    <t>Sassuolo-Genoa</t>
  </si>
  <si>
    <t>Cagliari-Milan</t>
  </si>
  <si>
    <t>Como-Juventus</t>
  </si>
  <si>
    <t>Frosinone-Parma</t>
  </si>
  <si>
    <t>Inter-Genoa</t>
  </si>
  <si>
    <t>Lecce-Atalanta</t>
  </si>
  <si>
    <t>Roma-Monza</t>
  </si>
  <si>
    <t>Sassuolo-Napoli</t>
  </si>
  <si>
    <t>Torino-Lazio</t>
  </si>
  <si>
    <t>Udinese-Fiorentina</t>
  </si>
  <si>
    <t>Venezia-Bologna</t>
  </si>
  <si>
    <t>Bologna-Roma</t>
  </si>
  <si>
    <t>Fiorentina-Cagliari</t>
  </si>
  <si>
    <t>Frosinone-Inter</t>
  </si>
  <si>
    <t>Genoa-Torino</t>
  </si>
  <si>
    <t>Juventus-Udinese</t>
  </si>
  <si>
    <t>Lazio-Atalanta</t>
  </si>
  <si>
    <t>Milan-Parma</t>
  </si>
  <si>
    <t>Monza-Como</t>
  </si>
  <si>
    <t>Napoli-Lecce</t>
  </si>
  <si>
    <t>Venezia-Sassuolo</t>
  </si>
  <si>
    <t>Atalanta-Genoa</t>
  </si>
  <si>
    <t>Cagliari-Venezia</t>
  </si>
  <si>
    <t>Como-Bologna</t>
  </si>
  <si>
    <t>Inter-Torino</t>
  </si>
  <si>
    <t>Juventus-Monza</t>
  </si>
  <si>
    <t>Lazio-Roma</t>
  </si>
  <si>
    <t>Lecce-Sassuolo</t>
  </si>
  <si>
    <t>Napoli-Milan</t>
  </si>
  <si>
    <t>Parma-Fiorentina</t>
  </si>
  <si>
    <t>Udinese-Frosinone</t>
  </si>
  <si>
    <t>Atalanta-Napoli</t>
  </si>
  <si>
    <t>Fiorentina-Bologna</t>
  </si>
  <si>
    <t>Frosinone-Lazio</t>
  </si>
  <si>
    <t>Genoa-Udinese</t>
  </si>
  <si>
    <t>Lecce-Inter</t>
  </si>
  <si>
    <t>Milan-Como</t>
  </si>
  <si>
    <t>Roma-Juventus</t>
  </si>
  <si>
    <t>Sassuolo-Parma</t>
  </si>
  <si>
    <t>Torino-Cagliari</t>
  </si>
  <si>
    <t>Venezia-Monza</t>
  </si>
  <si>
    <t>Bologna-Juventus</t>
  </si>
  <si>
    <t>Cagliari-Genoa</t>
  </si>
  <si>
    <t>Como-Lecce</t>
  </si>
  <si>
    <t>Fiorentina-Lazio</t>
  </si>
  <si>
    <t>Inter-Sassuolo</t>
  </si>
  <si>
    <t>Monza-Milan</t>
  </si>
  <si>
    <t>Parma-Napoli</t>
  </si>
  <si>
    <t>Roma-Frosinone</t>
  </si>
  <si>
    <t>Torino-Venezia</t>
  </si>
  <si>
    <t>Udinese-Atalanta</t>
  </si>
  <si>
    <t>Atalanta-Como</t>
  </si>
  <si>
    <t>Frosinone-Bologna</t>
  </si>
  <si>
    <t>Genoa-Monza</t>
  </si>
  <si>
    <t>Juventus-Torino</t>
  </si>
  <si>
    <t>Lazio-Inter</t>
  </si>
  <si>
    <t>Lecce-Parma</t>
  </si>
  <si>
    <t>Milan-Fiorentina</t>
  </si>
  <si>
    <t>Napoli-Cagliari</t>
  </si>
  <si>
    <t>Sassuolo-Udinese</t>
  </si>
  <si>
    <t>Venezia-Roma</t>
  </si>
  <si>
    <t>Bologna-Genoa</t>
  </si>
  <si>
    <t>Cagliari-Sassuolo</t>
  </si>
  <si>
    <t>Como-Lazio</t>
  </si>
  <si>
    <t>Fiorentina-Lecce</t>
  </si>
  <si>
    <t>Inter-Juventus</t>
  </si>
  <si>
    <t>Monza-Frosinone</t>
  </si>
  <si>
    <t>Parma-Venezia</t>
  </si>
  <si>
    <t>Roma-Milan</t>
  </si>
  <si>
    <t>Torino-Atalanta</t>
  </si>
  <si>
    <t>Udinese-Napoli</t>
  </si>
  <si>
    <t>Atalanta-Roma</t>
  </si>
  <si>
    <t>Cagliari-Como</t>
  </si>
  <si>
    <t>Juventus-Genoa</t>
  </si>
  <si>
    <t>Lazio-Bologna</t>
  </si>
  <si>
    <t>Lecce-Udinese</t>
  </si>
  <si>
    <t>Milan-Torino</t>
  </si>
  <si>
    <t>Napoli-Fiorentina</t>
  </si>
  <si>
    <t>Parma-Inter</t>
  </si>
  <si>
    <t>Sassuolo-Monza</t>
  </si>
  <si>
    <t>Venezia-Frosinone</t>
  </si>
  <si>
    <t>Bologna-Atalanta</t>
  </si>
  <si>
    <t>Como-Napoli</t>
  </si>
  <si>
    <t>Fiorentina-Sassuolo</t>
  </si>
  <si>
    <t>Frosinone-Milan</t>
  </si>
  <si>
    <t>Genoa-Parma</t>
  </si>
  <si>
    <t>Inter-Venezia</t>
  </si>
  <si>
    <t>Juventus-Cagliari</t>
  </si>
  <si>
    <t>Lecce-Torino</t>
  </si>
  <si>
    <t>Monza-Lazio</t>
  </si>
  <si>
    <t>Roma-Udinese</t>
  </si>
  <si>
    <t>Atalanta-Fiorentina</t>
  </si>
  <si>
    <t>Cagliari-Parma</t>
  </si>
  <si>
    <t>Genoa-Lecce</t>
  </si>
  <si>
    <t>Lazio-Venezia</t>
  </si>
  <si>
    <t>Milan-Juventus</t>
  </si>
  <si>
    <t>Monza-Roma</t>
  </si>
  <si>
    <t>Napoli-Inter</t>
  </si>
  <si>
    <t>Sassuolo-Como</t>
  </si>
  <si>
    <t>Torino-Frosinone</t>
  </si>
  <si>
    <t>Udinese-Bologna</t>
  </si>
  <si>
    <t>Atalanta-Lazio</t>
  </si>
  <si>
    <t>Bologna-Milan</t>
  </si>
  <si>
    <t>Como-Monza</t>
  </si>
  <si>
    <t>Fiorentina-Udinese</t>
  </si>
  <si>
    <t>Inter-Cagliari</t>
  </si>
  <si>
    <t>Juventus-Sassuolo</t>
  </si>
  <si>
    <t>Lecce-Napoli</t>
  </si>
  <si>
    <t>Parma-Frosinone</t>
  </si>
  <si>
    <t>Roma-Torino</t>
  </si>
  <si>
    <t>Venezia-Genoa</t>
  </si>
  <si>
    <t>Bologna-Como</t>
  </si>
  <si>
    <t>Cagliari-Lazio</t>
  </si>
  <si>
    <t>Frosinone-Fiorentina</t>
  </si>
  <si>
    <t>Genoa-Atalanta</t>
  </si>
  <si>
    <t>Inter-Milan</t>
  </si>
  <si>
    <t>Monza-Lecce</t>
  </si>
  <si>
    <t>Napoli-Juventus</t>
  </si>
  <si>
    <t>Roma-Parma</t>
  </si>
  <si>
    <t>Torino-Sassuolo</t>
  </si>
  <si>
    <t>Udinese-Venezia</t>
  </si>
  <si>
    <t>Atalanta-Monza</t>
  </si>
  <si>
    <t>Como-Torino</t>
  </si>
  <si>
    <t>Fiorentina-Inter</t>
  </si>
  <si>
    <t>Juventus-Bologna</t>
  </si>
  <si>
    <t>Lazio-Napoli</t>
  </si>
  <si>
    <t>Lecce-Frosinone</t>
  </si>
  <si>
    <t>Milan-Genoa</t>
  </si>
  <si>
    <t>Sassuolo-Roma</t>
  </si>
  <si>
    <t>Udinese-Parma</t>
  </si>
  <si>
    <t>Venezia-Cagliari</t>
  </si>
  <si>
    <t>Bologna-Lecce</t>
  </si>
  <si>
    <t>Cagliari-Udinese</t>
  </si>
  <si>
    <t>Como-Milan</t>
  </si>
  <si>
    <t>Frosinone-Napoli</t>
  </si>
  <si>
    <t>Genoa-Lazio</t>
  </si>
  <si>
    <t>Inter-Atalanta</t>
  </si>
  <si>
    <t>Monza-Juventus</t>
  </si>
  <si>
    <t>Parma-Sassuolo</t>
  </si>
  <si>
    <t>Roma-Venezia</t>
  </si>
  <si>
    <t>Torino-Fiorentina</t>
  </si>
  <si>
    <t>Atalanta-Torino</t>
  </si>
  <si>
    <t>Fiorentina-Venezia</t>
  </si>
  <si>
    <t>Juventus-Roma</t>
  </si>
  <si>
    <t>Lazio-Frosinone</t>
  </si>
  <si>
    <t>Lecce-Como</t>
  </si>
  <si>
    <t>Milan-Cagliari</t>
  </si>
  <si>
    <t>Monza-Genoa</t>
  </si>
  <si>
    <t>Napoli-Parma</t>
  </si>
  <si>
    <t>Sassuolo-Bologna</t>
  </si>
  <si>
    <t>Udinese-Inter</t>
  </si>
  <si>
    <t>Bologna-Napoli</t>
  </si>
  <si>
    <t>Cagliari-Fiorentina</t>
  </si>
  <si>
    <t>Como-Udinese</t>
  </si>
  <si>
    <t>Frosinone-Monza</t>
  </si>
  <si>
    <t>Genoa-Roma</t>
  </si>
  <si>
    <t>Lazio-Juventus</t>
  </si>
  <si>
    <t>Milan-Sassuolo</t>
  </si>
  <si>
    <t>Parma-Lecce</t>
  </si>
  <si>
    <t>Torino-Inter</t>
  </si>
  <si>
    <t>Venezia-Atalanta</t>
  </si>
  <si>
    <t>Atalanta-Milan</t>
  </si>
  <si>
    <t>Fiorentina-Genoa</t>
  </si>
  <si>
    <t>Inter-Frosinone</t>
  </si>
  <si>
    <t>Juventus-Como</t>
  </si>
  <si>
    <t>Monza-Bologna</t>
  </si>
  <si>
    <t>Napoli-Venezia</t>
  </si>
  <si>
    <t>Parma-Lazio</t>
  </si>
  <si>
    <t>Roma-Lecce</t>
  </si>
  <si>
    <t>Sassuolo-Cagliari</t>
  </si>
  <si>
    <t>Udinese-Torino</t>
  </si>
  <si>
    <t>Cagliari-Napoli</t>
  </si>
  <si>
    <t>Como-Fiorentina</t>
  </si>
  <si>
    <t>Frosinone-Udinese</t>
  </si>
  <si>
    <t>Genoa-Inter</t>
  </si>
  <si>
    <t>Lecce-Lazio</t>
  </si>
  <si>
    <t>Milan-Monza</t>
  </si>
  <si>
    <t>Roma-Bologna</t>
  </si>
  <si>
    <t>Sassuolo-Atalanta</t>
  </si>
  <si>
    <t>Torino-Juventus</t>
  </si>
  <si>
    <t>Venezia-Parma</t>
  </si>
  <si>
    <t>Bologna-Venezia</t>
  </si>
  <si>
    <t>Cagliari-Atalanta</t>
  </si>
  <si>
    <t>Fiorentina-Milan</t>
  </si>
  <si>
    <t>Frosinone-Genoa</t>
  </si>
  <si>
    <t>Inter-Roma</t>
  </si>
  <si>
    <t>Juventus-Lecce</t>
  </si>
  <si>
    <t>Lazio-Torino</t>
  </si>
  <si>
    <t>Napoli-Sassuolo</t>
  </si>
  <si>
    <t>Parma-Como</t>
  </si>
  <si>
    <t>Udinese-Monza</t>
  </si>
  <si>
    <t>Atalanta-Udinese</t>
  </si>
  <si>
    <t>Bologna-Cagliari</t>
  </si>
  <si>
    <t>Como-Frosinone</t>
  </si>
  <si>
    <t>Fiorentina-Parma</t>
  </si>
  <si>
    <t>Milan-Napoli</t>
  </si>
  <si>
    <t>Monza-Inter</t>
  </si>
  <si>
    <t>Roma-Lazio</t>
  </si>
  <si>
    <t>Sassuolo-Lecce</t>
  </si>
  <si>
    <t>Torino-Genoa</t>
  </si>
  <si>
    <t>Venezia-Juventus</t>
  </si>
  <si>
    <t>Cagliari-Monza</t>
  </si>
  <si>
    <t>Frosinone-Roma</t>
  </si>
  <si>
    <t>Genoa-Sassuolo</t>
  </si>
  <si>
    <t>Inter-Bologna</t>
  </si>
  <si>
    <t>Juventus-Fiorentina</t>
  </si>
  <si>
    <t>Lazio-Como</t>
  </si>
  <si>
    <t>Lecce-Milan</t>
  </si>
  <si>
    <t>Napoli-Udinese</t>
  </si>
  <si>
    <t>Parma-Atalanta</t>
  </si>
  <si>
    <t>Venezia-Torino</t>
  </si>
  <si>
    <t>Atalanta-Juventus</t>
  </si>
  <si>
    <t>Bologna-Fiorentina</t>
  </si>
  <si>
    <t>Como-Inter</t>
  </si>
  <si>
    <t>Lecce-Cagliari</t>
  </si>
  <si>
    <t>Milan-Lazio</t>
  </si>
  <si>
    <t>Monza-Venezia</t>
  </si>
  <si>
    <t>Roma-Napoli</t>
  </si>
  <si>
    <t>Sassuolo-Frosinone</t>
  </si>
  <si>
    <t>Torino-Parma</t>
  </si>
  <si>
    <t>Udinese-Genoa</t>
  </si>
  <si>
    <t>Fiorentina-Roma</t>
  </si>
  <si>
    <t>Frosinone-Atalanta</t>
  </si>
  <si>
    <t>Genoa-Cagliari</t>
  </si>
  <si>
    <t>Inter-Lecce</t>
  </si>
  <si>
    <t>Lazio-Sassuolo</t>
  </si>
  <si>
    <t>Napoli-Monza</t>
  </si>
  <si>
    <t>Parma-Milan</t>
  </si>
  <si>
    <t>Torino-Bologna</t>
  </si>
  <si>
    <t>Udinese-Juventus</t>
  </si>
  <si>
    <t>Venezia-Como</t>
  </si>
  <si>
    <t>Bologna-Frosinone</t>
  </si>
  <si>
    <t>Cagliari-Torino</t>
  </si>
  <si>
    <t>Como-Atalanta</t>
  </si>
  <si>
    <t>Juventus-Inter</t>
  </si>
  <si>
    <t>Lazio-Udinese</t>
  </si>
  <si>
    <t>Lecce-Fiorentina</t>
  </si>
  <si>
    <t>Milan-Roma</t>
  </si>
  <si>
    <t>Monza-Parma</t>
  </si>
  <si>
    <t>Napoli-Genoa</t>
  </si>
  <si>
    <t>Sassuolo-Venezia</t>
  </si>
  <si>
    <t>Atalanta-Lecce</t>
  </si>
  <si>
    <t>Fiorentina-Monza</t>
  </si>
  <si>
    <t>Frosinone-Cagliari</t>
  </si>
  <si>
    <t>Genoa-Bologna</t>
  </si>
  <si>
    <t>Inter-Lazio</t>
  </si>
  <si>
    <t>Parma-Juventus</t>
  </si>
  <si>
    <t>Roma-Como</t>
  </si>
  <si>
    <t>Torino-Napoli</t>
  </si>
  <si>
    <t>Udinese-Sassuolo</t>
  </si>
  <si>
    <t>Venezia-Milan</t>
  </si>
  <si>
    <t>Bologna-Parma</t>
  </si>
  <si>
    <t>Cagliari-Roma</t>
  </si>
  <si>
    <t>Como-Genoa</t>
  </si>
  <si>
    <t>Juventus-Frosinone</t>
  </si>
  <si>
    <t>Lazio-Fiorentina</t>
  </si>
  <si>
    <t>Lecce-Venezia</t>
  </si>
  <si>
    <t>Milan-Udinese</t>
  </si>
  <si>
    <t>Monza-Torino</t>
  </si>
  <si>
    <t>Napoli-Atalanta</t>
  </si>
  <si>
    <t>Sassuolo-Inter</t>
  </si>
  <si>
    <t>Istruzioni rapide</t>
  </si>
  <si>
    <t>- Ogni giornata ha il proprio foglio (dalla 1 alla 38).</t>
  </si>
  <si>
    <t>- Le partite della stagione 2026/2027 sono già inserite nel formato 'Casa-Ospite'.</t>
  </si>
  <si>
    <t>- Inserisci i risultati reali nelle colonne 'Gol Casa Reale' e 'Gol Ospite Reale'.</t>
  </si>
  <si>
    <t>- Ogni giocatore inserisce i propri pronostici nelle colonne dedicate (Casa/Ospite).</t>
  </si>
  <si>
    <t>- Le colonne Punti vengono calcolate automaticamente.</t>
  </si>
  <si>
    <t>- Punti Risultato Esatto: punteggio per il risultato esatto.</t>
  </si>
  <si>
    <t>- Punti Solo Segno: punteggio per aver indovinato solo il segno (1X2).</t>
  </si>
  <si>
    <t>- Punti Bonus Unico: bonus assegnato se, tra i quattro partecipanti, solo uno indovina il segno della partita.</t>
  </si>
  <si>
    <t>- Il bonus unico si somma agli eventuali punti per segno o risultato esatto.</t>
  </si>
  <si>
    <t>- In fondo a ogni foglio è presente il totale dei punti della giornata per ciascun partecipante.</t>
  </si>
  <si>
    <t>- Il foglio 'Classifica' mostra la somma totale di tutti i punti e la posizione.</t>
  </si>
  <si>
    <t>Parametro</t>
  </si>
  <si>
    <t>Valore</t>
  </si>
  <si>
    <t>Punti Risultato Esatto</t>
  </si>
  <si>
    <t>Punti Solo Segno</t>
  </si>
  <si>
    <t>Punti Bonus Unico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</si>
</sst>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 readingOrder="1"/>
    </xf>
    <xf numFmtId="0" fontId="3" fillId="0" borderId="1" xfId="0" applyFont="1" applyBorder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pane ySplit="1" topLeftCell="A2" activePane="bottomLeft" state="frozen"/>
      <selection pane="bottomLeft" activeCell="C1" sqref="C1"/>
    </sheetView>
  </sheetViews>
  <sheetFormatPr defaultColWidth="14.42578125" defaultRowHeight="15" customHeight="1"/>
  <cols>
    <col min="1" max="2" width="16" customWidth="1"/>
    <col min="3" max="3" width="12" customWidth="1"/>
    <col min="4" max="26" width="8.5703125" customWidth="1"/>
  </cols>
  <sheetData>
    <row r="1" spans="1:3" ht="14.25" customHeight="1">
      <c r="A1" s="3" t="s">
        <v>0</v>
      </c>
      <c r="B1" s="3" t="s">
        <v>1</v>
      </c>
      <c r="C1" s="3" t="s">
        <v>2</v>
      </c>
    </row>
    <row r="2" spans="1:3" ht="14.25" customHeight="1">
      <c r="A2" t="s">
        <v>3</v>
      </c>
      <c r="B2" s="4">
        <f>SUM('Giornata 1:Giornata 38'!M12)</f>
        <v>28</v>
      </c>
      <c r="C2" s="4">
        <f>RANK(B2,$B$2:$B$5,0)</f>
        <v>1</v>
      </c>
    </row>
    <row r="3" spans="1:3" ht="14.25" customHeight="1">
      <c r="A3" t="s">
        <v>4</v>
      </c>
      <c r="B3" s="4">
        <f>SUM('Giornata 1:Giornata 38'!L12)</f>
        <v>22</v>
      </c>
      <c r="C3" s="4">
        <f>RANK(B3,$B$2:$B$5,0)</f>
        <v>2</v>
      </c>
    </row>
    <row r="4" spans="1:3" ht="14.25" customHeight="1">
      <c r="A4" t="s">
        <v>5</v>
      </c>
      <c r="B4" s="4">
        <f>SUM('Giornata 1:Giornata 38'!O12)</f>
        <v>16</v>
      </c>
      <c r="C4" s="4">
        <f>RANK(B4,$B$2:$B$5,0)</f>
        <v>3</v>
      </c>
    </row>
    <row r="5" spans="1:3" ht="14.25" customHeight="1">
      <c r="A5" t="s">
        <v>6</v>
      </c>
      <c r="B5" s="4">
        <f>SUM('Giornata 1:Giornata 38'!N12)</f>
        <v>13</v>
      </c>
      <c r="C5" s="4">
        <f>RANK(B5,$B$2:$B$5,0)</f>
        <v>4</v>
      </c>
    </row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C1" xr:uid="{00000000-0001-0000-0000-000000000000}">
    <sortState xmlns:xlrd2="http://schemas.microsoft.com/office/spreadsheetml/2017/richdata2" ref="A2:C5">
      <sortCondition ref="C1"/>
    </sortState>
  </autoFilter>
  <pageMargins left="0.75" right="0.75" top="1" bottom="1" header="0" footer="0"/>
  <pageSetup orientation="landscape"/>
  <headerFooter>
    <oddHeader>&amp;C000000 Diffusione Limitata#_x000D_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topLeftCell="L1" workbookViewId="0">
      <pane ySplit="1" topLeftCell="L2" activePane="bottomLeft" state="frozen"/>
      <selection pane="bottomLeft" activeCell="C3" sqref="C3"/>
      <selection activeCell="D1" sqref="D1"/>
    </sheetView>
  </sheetViews>
  <sheetFormatPr defaultRowHeight="15"/>
  <cols>
    <col min="1" max="1" width="22" customWidth="1"/>
    <col min="2" max="2" width="16" customWidth="1"/>
    <col min="3" max="3" width="17" customWidth="1"/>
    <col min="4" max="7" width="11" customWidth="1"/>
    <col min="8" max="8" width="13.7109375" customWidth="1"/>
    <col min="9" max="11" width="11" customWidth="1"/>
    <col min="12" max="12" width="12" customWidth="1"/>
    <col min="13" max="13" width="12.42578125" customWidth="1"/>
    <col min="14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22</v>
      </c>
      <c r="B2">
        <v>2</v>
      </c>
      <c r="C2">
        <v>1</v>
      </c>
      <c r="D2" s="9">
        <v>1</v>
      </c>
      <c r="E2" s="9">
        <v>0</v>
      </c>
      <c r="F2" s="9">
        <v>1</v>
      </c>
      <c r="G2" s="9">
        <v>1</v>
      </c>
      <c r="H2" s="8">
        <v>2</v>
      </c>
      <c r="I2">
        <v>1</v>
      </c>
      <c r="J2">
        <v>1</v>
      </c>
      <c r="K2">
        <v>1</v>
      </c>
      <c r="L2" s="1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>1</v>
      </c>
      <c r="M2" s="1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>0</v>
      </c>
      <c r="N2" s="1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>2</v>
      </c>
      <c r="O2" s="1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>0</v>
      </c>
    </row>
    <row r="3" spans="1:15" ht="18" customHeight="1">
      <c r="A3" s="1" t="s">
        <v>23</v>
      </c>
      <c r="B3">
        <v>0</v>
      </c>
      <c r="C3">
        <v>1</v>
      </c>
      <c r="D3" s="9">
        <v>2</v>
      </c>
      <c r="E3" s="9">
        <v>0</v>
      </c>
      <c r="F3" s="9">
        <v>0</v>
      </c>
      <c r="G3" s="9">
        <v>2</v>
      </c>
      <c r="H3">
        <v>1</v>
      </c>
      <c r="I3">
        <v>1</v>
      </c>
      <c r="J3">
        <v>2</v>
      </c>
      <c r="K3">
        <v>1</v>
      </c>
      <c r="L3" s="1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>0</v>
      </c>
      <c r="M3" s="1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>4</v>
      </c>
      <c r="N3" s="1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>0</v>
      </c>
      <c r="O3" s="1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>0</v>
      </c>
    </row>
    <row r="4" spans="1:15" ht="18" customHeight="1">
      <c r="A4" s="1" t="s">
        <v>24</v>
      </c>
      <c r="B4">
        <v>0</v>
      </c>
      <c r="C4">
        <v>1</v>
      </c>
      <c r="D4" s="9">
        <v>0</v>
      </c>
      <c r="E4" s="9">
        <v>2</v>
      </c>
      <c r="F4" s="9">
        <v>1</v>
      </c>
      <c r="G4" s="9">
        <v>2</v>
      </c>
      <c r="H4">
        <v>0</v>
      </c>
      <c r="I4">
        <v>2</v>
      </c>
      <c r="J4">
        <v>0</v>
      </c>
      <c r="K4">
        <v>2</v>
      </c>
      <c r="L4" s="1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>1</v>
      </c>
      <c r="M4" s="1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>1</v>
      </c>
      <c r="N4" s="1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>1</v>
      </c>
      <c r="O4" s="1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>1</v>
      </c>
    </row>
    <row r="5" spans="1:15" ht="18" customHeight="1">
      <c r="A5" s="1" t="s">
        <v>25</v>
      </c>
      <c r="B5">
        <v>0</v>
      </c>
      <c r="C5">
        <v>2</v>
      </c>
      <c r="D5" s="9">
        <v>1</v>
      </c>
      <c r="E5" s="9">
        <v>2</v>
      </c>
      <c r="F5" s="9">
        <v>1</v>
      </c>
      <c r="G5" s="9">
        <v>2</v>
      </c>
      <c r="H5">
        <v>0</v>
      </c>
      <c r="I5">
        <v>1</v>
      </c>
      <c r="J5">
        <v>1</v>
      </c>
      <c r="K5">
        <v>2</v>
      </c>
      <c r="L5" s="1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>1</v>
      </c>
      <c r="M5" s="1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>1</v>
      </c>
      <c r="N5" s="1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>1</v>
      </c>
      <c r="O5" s="1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>1</v>
      </c>
    </row>
    <row r="6" spans="1:15" ht="18" customHeight="1">
      <c r="A6" s="1" t="s">
        <v>26</v>
      </c>
      <c r="B6">
        <v>4</v>
      </c>
      <c r="C6">
        <v>1</v>
      </c>
      <c r="D6" s="9">
        <v>3</v>
      </c>
      <c r="E6" s="9">
        <v>0</v>
      </c>
      <c r="F6" s="9">
        <v>3</v>
      </c>
      <c r="G6" s="9">
        <v>0</v>
      </c>
      <c r="H6">
        <v>3</v>
      </c>
      <c r="I6">
        <v>0</v>
      </c>
      <c r="J6">
        <v>3</v>
      </c>
      <c r="K6">
        <v>0</v>
      </c>
      <c r="L6" s="1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>1</v>
      </c>
      <c r="M6" s="1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>1</v>
      </c>
      <c r="N6" s="1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>1</v>
      </c>
      <c r="O6" s="1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>1</v>
      </c>
    </row>
    <row r="7" spans="1:15" ht="18" customHeight="1">
      <c r="A7" s="1" t="s">
        <v>27</v>
      </c>
      <c r="B7">
        <v>0</v>
      </c>
      <c r="C7">
        <v>1</v>
      </c>
      <c r="D7" s="9">
        <v>0</v>
      </c>
      <c r="E7" s="9">
        <v>0</v>
      </c>
      <c r="F7" s="9">
        <v>0</v>
      </c>
      <c r="G7" s="9">
        <v>0</v>
      </c>
      <c r="H7">
        <v>1</v>
      </c>
      <c r="I7">
        <v>1</v>
      </c>
      <c r="J7">
        <v>0</v>
      </c>
      <c r="K7">
        <v>0</v>
      </c>
      <c r="L7" s="1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>0</v>
      </c>
      <c r="M7" s="1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>0</v>
      </c>
      <c r="N7" s="1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>0</v>
      </c>
      <c r="O7" s="1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>0</v>
      </c>
    </row>
    <row r="8" spans="1:15" ht="18" customHeight="1">
      <c r="A8" s="1" t="s">
        <v>28</v>
      </c>
      <c r="D8" s="9"/>
      <c r="E8" s="9"/>
      <c r="F8" s="9"/>
      <c r="G8" s="9"/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Segno",Parametri!$A:$A,0)),0))+IF(AND(SIGN($B8-$C8)=SIGN(D8-E8),(--(SIGN(D8-E8)=SIGN($B8-$C8))+--(SIGN(F8-G8)=SIGN($B8-$C8))+--(SIGN(H9-I9)=SIGN($B8-$C8))+--(SIGN(J8-K8)=SIGN($B8-$C8)))=1),INDEX(Parametri!$B:$B,MATCH("Punti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Segno",Parametri!$A:$A,0)),0))+IF(AND(SIGN($B8-$C8)=SIGN(F8-G8),(--(SIGN(D8-E8)=SIGN($B8-$C8))+--(SIGN(F8-G8)=SIGN($B8-$C8))+--(SIGN(H9-I9)=SIGN($B8-$C8))+--(SIGN(J8-K8)=SIGN($B8-$C8)))=1),INDEX(Parametri!$B:$B,MATCH("Punti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Segno",Parametri!$A:$A,0)),0))+IF(AND(SIGN($B8-$C8)=SIGN(J8-K8),(--(SIGN(D8-E8)=SIGN($B8-$C8))+--(SIGN(F8-G8)=SIGN($B8-$C8))+--(SIGN(H9-I9)=SIGN($B8-$C8))+--(SIGN(J8-K8)=SIGN($B8-$C8)))=1),INDEX(Parametri!$B:$B,MATCH("Punti Bonus Unico",Parametri!$A:$A,0)),0))</f>
        <v/>
      </c>
    </row>
    <row r="9" spans="1:15" ht="18" customHeight="1">
      <c r="A9" s="1" t="s">
        <v>29</v>
      </c>
      <c r="B9">
        <v>1</v>
      </c>
      <c r="C9">
        <v>2</v>
      </c>
      <c r="D9" s="9">
        <v>0</v>
      </c>
      <c r="E9" s="9">
        <v>1</v>
      </c>
      <c r="F9" s="9">
        <v>0</v>
      </c>
      <c r="G9" s="9">
        <v>1</v>
      </c>
      <c r="H9">
        <v>1</v>
      </c>
      <c r="I9">
        <v>3</v>
      </c>
      <c r="J9">
        <v>0</v>
      </c>
      <c r="K9">
        <v>2</v>
      </c>
      <c r="L9" s="1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Segno",Parametri!$A:$A,0)),0))+IF(AND(SIGN($B9-$C9)=SIGN(D9-E9),(--(SIGN(D9-E9)=SIGN($B9-$C9))+--(SIGN(F9-G9)=SIGN($B9-$C9))+--(SIGN(H10-I10)=SIGN($B9-$C9))+--(SIGN(J9-K9)=SIGN($B9-$C9)))=1),INDEX(Parametri!$B:$B,MATCH("Punti Bonus Unico",Parametri!$A:$A,0)),0))</f>
        <v>1</v>
      </c>
      <c r="M9" s="1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Segno",Parametri!$A:$A,0)),0))+IF(AND(SIGN($B9-$C9)=SIGN(F9-G9),(--(SIGN(D9-E9)=SIGN($B9-$C9))+--(SIGN(F9-G9)=SIGN($B9-$C9))+--(SIGN(H10-I10)=SIGN($B9-$C9))+--(SIGN(J9-K9)=SIGN($B9-$C9)))=1),INDEX(Parametri!$B:$B,MATCH("Punti Bonus Unico",Parametri!$A:$A,0)),0))</f>
        <v>1</v>
      </c>
      <c r="N9" s="1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>1</v>
      </c>
      <c r="O9" s="1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Segno",Parametri!$A:$A,0)),0))+IF(AND(SIGN($B9-$C9)=SIGN(J9-K9),(--(SIGN(D9-E9)=SIGN($B9-$C9))+--(SIGN(F9-G9)=SIGN($B9-$C9))+--(SIGN(H10-I10)=SIGN($B9-$C9))+--(SIGN(J9-K9)=SIGN($B9-$C9)))=1),INDEX(Parametri!$B:$B,MATCH("Punti Bonus Unico",Parametri!$A:$A,0)),0))</f>
        <v>1</v>
      </c>
    </row>
    <row r="10" spans="1:15" ht="18" customHeight="1">
      <c r="A10" s="1" t="s">
        <v>30</v>
      </c>
      <c r="B10">
        <v>1</v>
      </c>
      <c r="C10">
        <v>1</v>
      </c>
      <c r="D10" s="9">
        <v>0</v>
      </c>
      <c r="E10" s="9">
        <v>1</v>
      </c>
      <c r="F10">
        <v>1</v>
      </c>
      <c r="G10">
        <v>1</v>
      </c>
      <c r="H10">
        <v>1</v>
      </c>
      <c r="I10">
        <v>2</v>
      </c>
      <c r="J10">
        <v>1</v>
      </c>
      <c r="K10">
        <v>3</v>
      </c>
      <c r="L10" s="1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Segno",Parametri!$A:$A,0)),0))+IF(AND(SIGN($B10-$C10)=SIGN(D10-E10),(--(SIGN(D10-E10)=SIGN($B10-$C10))+--(SIGN(F10-G10)=SIGN($B10-$C10))+--(SIGN(H11-I11)=SIGN($B10-$C10))+--(SIGN(J10-K10)=SIGN($B10-$C10)))=1),INDEX(Parametri!$B:$B,MATCH("Punti Bonus Unico",Parametri!$A:$A,0)),0))</f>
        <v>0</v>
      </c>
      <c r="M10" s="1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Segno",Parametri!$A:$A,0)),0))+IF(AND(SIGN($B10-$C10)=SIGN(F10-G10),(--(SIGN(D10-E10)=SIGN($B10-$C10))+--(SIGN(F10-G10)=SIGN($B10-$C10))+--(SIGN(H11-I11)=SIGN($B10-$C10))+--(SIGN(J10-K10)=SIGN($B10-$C10)))=1),INDEX(Parametri!$B:$B,MATCH("Punti Bonus Unico",Parametri!$A:$A,0)),0))</f>
        <v>5</v>
      </c>
      <c r="N10" s="1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>0</v>
      </c>
      <c r="O10" s="1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Segno",Parametri!$A:$A,0)),0))+IF(AND(SIGN($B10-$C10)=SIGN(J10-K10),(--(SIGN(D10-E10)=SIGN($B10-$C10))+--(SIGN(F10-G10)=SIGN($B10-$C10))+--(SIGN(H11-I11)=SIGN($B10-$C10))+--(SIGN(J10-K10)=SIGN($B10-$C10)))=1),INDEX(Parametri!$B:$B,MATCH("Punti Bonus Unico",Parametri!$A:$A,0)),0))</f>
        <v>0</v>
      </c>
    </row>
    <row r="11" spans="1:15" ht="18" customHeight="1">
      <c r="A11" s="1" t="s">
        <v>31</v>
      </c>
      <c r="B11">
        <v>0</v>
      </c>
      <c r="C11">
        <v>2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 s="1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Segno",Parametri!$A:$A,0)),0))+IF(AND(SIGN($B11-$C11)=SIGN(D11-E11),(--(SIGN(D11-E11)=SIGN($B11-$C11))+--(SIGN(F11-G11)=SIGN($B11-$C11))+--(SIGN(H12-I12)=SIGN($B11-$C11))+--(SIGN(J11-K11)=SIGN($B11-$C11)))=1),INDEX(Parametri!$B:$B,MATCH("Punti Bonus Unico",Parametri!$A:$A,0)),0))</f>
        <v>0</v>
      </c>
      <c r="M11" s="1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Segno",Parametri!$A:$A,0)),0))+IF(AND(SIGN($B11-$C11)=SIGN(F11-G11),(--(SIGN(D11-E11)=SIGN($B11-$C11))+--(SIGN(F11-G11)=SIGN($B11-$C11))+--(SIGN(H12-I12)=SIGN($B11-$C11))+--(SIGN(J11-K11)=SIGN($B11-$C11)))=1),INDEX(Parametri!$B:$B,MATCH("Punti Bonus Unico",Parametri!$A:$A,0)),0))</f>
        <v>0</v>
      </c>
      <c r="N11" s="1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>0</v>
      </c>
      <c r="O11" s="1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Segno",Parametri!$A:$A,0)),0))+IF(AND(SIGN($B11-$C11)=SIGN(J11-K11),(--(SIGN(D11-E11)=SIGN($B11-$C11))+--(SIGN(F11-G11)=SIGN($B11-$C11))+--(SIGN(H12-I12)=SIGN($B11-$C11))+--(SIGN(J11-K11)=SIGN($B11-$C11)))=1),INDEX(Parametri!$B:$B,MATCH("Punti Bonus Unico",Parametri!$A:$A,0)),0))</f>
        <v>0</v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10">
        <f>SUM(L2:L11)</f>
        <v>5</v>
      </c>
      <c r="M12" s="10">
        <f>SUM(M2:M11)</f>
        <v>13</v>
      </c>
      <c r="N12" s="10">
        <f>SUM(N2:N11)</f>
        <v>6</v>
      </c>
      <c r="O12" s="10">
        <f>SUM(O2:O11)</f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topLeftCell="L1" workbookViewId="0">
      <pane ySplit="1" topLeftCell="L2" activePane="bottomLeft" state="frozen"/>
      <selection pane="bottomLeft" activeCell="C2" sqref="C2"/>
      <selection activeCell="I1" sqref="I1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33</v>
      </c>
      <c r="B2">
        <v>1</v>
      </c>
      <c r="C2">
        <v>0</v>
      </c>
      <c r="D2">
        <v>2</v>
      </c>
      <c r="E2">
        <v>0</v>
      </c>
      <c r="F2">
        <v>1</v>
      </c>
      <c r="G2">
        <v>1</v>
      </c>
      <c r="H2">
        <v>2</v>
      </c>
      <c r="I2">
        <v>1</v>
      </c>
      <c r="J2">
        <v>1</v>
      </c>
      <c r="K2">
        <v>0</v>
      </c>
      <c r="L2" s="1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>1</v>
      </c>
      <c r="M2" s="1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>0</v>
      </c>
      <c r="N2" s="1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>1</v>
      </c>
      <c r="O2" s="1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>2</v>
      </c>
    </row>
    <row r="3" spans="1:15" ht="18" customHeight="1">
      <c r="A3" s="1" t="s">
        <v>34</v>
      </c>
      <c r="B3">
        <v>0</v>
      </c>
      <c r="C3">
        <v>1</v>
      </c>
      <c r="D3">
        <v>1</v>
      </c>
      <c r="E3">
        <v>2</v>
      </c>
      <c r="F3">
        <v>0</v>
      </c>
      <c r="G3">
        <v>2</v>
      </c>
      <c r="H3">
        <v>0</v>
      </c>
      <c r="I3">
        <v>2</v>
      </c>
      <c r="J3">
        <v>0</v>
      </c>
      <c r="K3">
        <v>2</v>
      </c>
      <c r="L3" s="1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>1</v>
      </c>
      <c r="M3" s="1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>1</v>
      </c>
      <c r="N3" s="1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>1</v>
      </c>
      <c r="O3" s="1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>1</v>
      </c>
    </row>
    <row r="4" spans="1:15" ht="18" customHeight="1">
      <c r="A4" s="1" t="s">
        <v>35</v>
      </c>
      <c r="B4">
        <v>0</v>
      </c>
      <c r="C4">
        <v>3</v>
      </c>
      <c r="D4">
        <v>2</v>
      </c>
      <c r="E4">
        <v>0</v>
      </c>
      <c r="F4">
        <v>2</v>
      </c>
      <c r="G4">
        <v>1</v>
      </c>
      <c r="H4">
        <v>2</v>
      </c>
      <c r="I4">
        <v>0</v>
      </c>
      <c r="J4">
        <v>2</v>
      </c>
      <c r="K4">
        <v>0</v>
      </c>
      <c r="L4" s="1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>0</v>
      </c>
      <c r="M4" s="1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>0</v>
      </c>
      <c r="N4" s="1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>0</v>
      </c>
      <c r="O4" s="1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>0</v>
      </c>
    </row>
    <row r="5" spans="1:15" ht="18" customHeight="1">
      <c r="A5" s="1" t="s">
        <v>36</v>
      </c>
      <c r="B5">
        <v>2</v>
      </c>
      <c r="C5">
        <v>0</v>
      </c>
      <c r="D5">
        <v>2</v>
      </c>
      <c r="E5">
        <v>0</v>
      </c>
      <c r="F5">
        <v>1</v>
      </c>
      <c r="G5">
        <v>0</v>
      </c>
      <c r="H5">
        <v>3</v>
      </c>
      <c r="I5">
        <v>0</v>
      </c>
      <c r="J5">
        <v>2</v>
      </c>
      <c r="K5">
        <v>0</v>
      </c>
      <c r="L5" s="1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>2</v>
      </c>
      <c r="M5" s="1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>1</v>
      </c>
      <c r="N5" s="1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>1</v>
      </c>
      <c r="O5" s="1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>2</v>
      </c>
    </row>
    <row r="6" spans="1:15" ht="18" customHeight="1">
      <c r="A6" s="1" t="s">
        <v>37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 s="1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>0</v>
      </c>
      <c r="M6" s="1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>0</v>
      </c>
      <c r="N6" s="1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>0</v>
      </c>
      <c r="O6" s="1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>0</v>
      </c>
    </row>
    <row r="7" spans="1:15" ht="18" customHeight="1">
      <c r="A7" s="1" t="s">
        <v>38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39</v>
      </c>
      <c r="B8">
        <v>2</v>
      </c>
      <c r="C8">
        <v>0</v>
      </c>
      <c r="D8">
        <v>2</v>
      </c>
      <c r="E8">
        <v>0</v>
      </c>
      <c r="F8">
        <v>2</v>
      </c>
      <c r="G8">
        <v>0</v>
      </c>
      <c r="H8">
        <v>3</v>
      </c>
      <c r="I8">
        <v>1</v>
      </c>
      <c r="J8">
        <v>3</v>
      </c>
      <c r="K8">
        <v>0</v>
      </c>
      <c r="L8" s="1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>2</v>
      </c>
      <c r="M8" s="1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>2</v>
      </c>
      <c r="N8" s="1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>1</v>
      </c>
      <c r="O8" s="1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>1</v>
      </c>
    </row>
    <row r="9" spans="1:15" ht="18" customHeight="1">
      <c r="A9" s="1" t="s">
        <v>40</v>
      </c>
      <c r="B9">
        <v>2</v>
      </c>
      <c r="C9">
        <v>3</v>
      </c>
      <c r="D9">
        <v>0</v>
      </c>
      <c r="E9">
        <v>1</v>
      </c>
      <c r="F9">
        <v>1</v>
      </c>
      <c r="G9">
        <v>2</v>
      </c>
      <c r="H9">
        <v>1</v>
      </c>
      <c r="I9">
        <v>2</v>
      </c>
      <c r="J9">
        <v>1</v>
      </c>
      <c r="K9">
        <v>2</v>
      </c>
      <c r="L9" s="1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>1</v>
      </c>
      <c r="M9" s="1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>1</v>
      </c>
      <c r="N9" s="1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>1</v>
      </c>
      <c r="O9" s="1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>1</v>
      </c>
    </row>
    <row r="10" spans="1:15" ht="18" customHeight="1">
      <c r="A10" s="1" t="s">
        <v>41</v>
      </c>
      <c r="B10">
        <v>1</v>
      </c>
      <c r="C10">
        <v>2</v>
      </c>
      <c r="D10">
        <v>1</v>
      </c>
      <c r="E10">
        <v>1</v>
      </c>
      <c r="F10">
        <v>1</v>
      </c>
      <c r="G10">
        <v>1</v>
      </c>
      <c r="H10">
        <v>2</v>
      </c>
      <c r="I10">
        <v>2</v>
      </c>
      <c r="J10">
        <v>0</v>
      </c>
      <c r="K10">
        <v>0</v>
      </c>
      <c r="L10" s="1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>0</v>
      </c>
      <c r="M10" s="1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>0</v>
      </c>
      <c r="N10" s="1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>0</v>
      </c>
      <c r="O10" s="1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>0</v>
      </c>
    </row>
    <row r="11" spans="1:15" ht="18" customHeight="1">
      <c r="A11" s="1" t="s">
        <v>42</v>
      </c>
      <c r="B11">
        <v>2</v>
      </c>
      <c r="C11">
        <v>1</v>
      </c>
      <c r="D11">
        <v>1</v>
      </c>
      <c r="E11">
        <v>0</v>
      </c>
      <c r="F11">
        <v>2</v>
      </c>
      <c r="G11">
        <v>0</v>
      </c>
      <c r="H11">
        <v>1</v>
      </c>
      <c r="I11">
        <v>1</v>
      </c>
      <c r="J11">
        <v>1</v>
      </c>
      <c r="K11">
        <v>1</v>
      </c>
      <c r="L11" s="1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>1</v>
      </c>
      <c r="M11" s="1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>1</v>
      </c>
      <c r="N11" s="1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>0</v>
      </c>
      <c r="O11" s="1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>0</v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8</v>
      </c>
      <c r="M12" s="6">
        <f>SUM(M2:M11)</f>
        <v>6</v>
      </c>
      <c r="N12" s="6">
        <f>SUM(N2:N11)</f>
        <v>5</v>
      </c>
      <c r="O12" s="6">
        <f>SUM(O2:O11)</f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tabSelected="1" topLeftCell="L1" workbookViewId="0">
      <pane ySplit="1" topLeftCell="A2" activePane="bottomLeft" state="frozen"/>
      <selection pane="bottomLeft" activeCell="C10" sqref="C10"/>
      <selection activeCell="L1" sqref="L1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43</v>
      </c>
      <c r="B2">
        <v>2</v>
      </c>
      <c r="C2">
        <v>2</v>
      </c>
      <c r="D2">
        <v>2</v>
      </c>
      <c r="E2">
        <v>0</v>
      </c>
      <c r="F2">
        <v>1</v>
      </c>
      <c r="G2">
        <v>1</v>
      </c>
      <c r="H2">
        <v>2</v>
      </c>
      <c r="I2">
        <v>1</v>
      </c>
      <c r="J2">
        <v>2</v>
      </c>
      <c r="K2">
        <v>1</v>
      </c>
      <c r="L2" s="1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>0</v>
      </c>
      <c r="M2" s="1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>4</v>
      </c>
      <c r="N2" s="1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>0</v>
      </c>
      <c r="O2" s="1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>0</v>
      </c>
    </row>
    <row r="3" spans="1:15" ht="18" customHeight="1">
      <c r="A3" s="1" t="s">
        <v>44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 s="1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>2</v>
      </c>
      <c r="M3" s="1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>0</v>
      </c>
      <c r="N3" s="1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>0</v>
      </c>
      <c r="O3" s="1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>2</v>
      </c>
    </row>
    <row r="4" spans="1:15" ht="18" customHeight="1">
      <c r="A4" s="1" t="s">
        <v>45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1</v>
      </c>
      <c r="J4">
        <v>2</v>
      </c>
      <c r="K4">
        <v>1</v>
      </c>
      <c r="L4" s="1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>0</v>
      </c>
      <c r="M4" s="1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>0</v>
      </c>
      <c r="N4" s="1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>0</v>
      </c>
      <c r="O4" s="1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>0</v>
      </c>
    </row>
    <row r="5" spans="1:15" ht="18" customHeight="1">
      <c r="A5" s="1" t="s">
        <v>46</v>
      </c>
      <c r="B5">
        <v>3</v>
      </c>
      <c r="C5">
        <v>2</v>
      </c>
      <c r="D5">
        <v>1</v>
      </c>
      <c r="E5">
        <v>0</v>
      </c>
      <c r="F5">
        <v>2</v>
      </c>
      <c r="G5">
        <v>1</v>
      </c>
      <c r="H5">
        <v>1</v>
      </c>
      <c r="I5">
        <v>1</v>
      </c>
      <c r="J5">
        <v>0</v>
      </c>
      <c r="K5">
        <v>0</v>
      </c>
      <c r="L5" s="1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>1</v>
      </c>
      <c r="M5" s="1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>1</v>
      </c>
      <c r="N5" s="1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>0</v>
      </c>
      <c r="O5" s="1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>0</v>
      </c>
    </row>
    <row r="6" spans="1:15" ht="18" customHeight="1">
      <c r="A6" s="1" t="s">
        <v>47</v>
      </c>
      <c r="B6">
        <v>1</v>
      </c>
      <c r="C6">
        <v>4</v>
      </c>
      <c r="D6">
        <v>1</v>
      </c>
      <c r="E6">
        <v>2</v>
      </c>
      <c r="F6">
        <v>1</v>
      </c>
      <c r="G6">
        <v>3</v>
      </c>
      <c r="H6">
        <v>1</v>
      </c>
      <c r="I6">
        <v>2</v>
      </c>
      <c r="J6">
        <v>0</v>
      </c>
      <c r="K6">
        <v>2</v>
      </c>
      <c r="L6" s="1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>1</v>
      </c>
      <c r="M6" s="1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>1</v>
      </c>
      <c r="N6" s="1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>1</v>
      </c>
      <c r="O6" s="1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>1</v>
      </c>
    </row>
    <row r="7" spans="1:15" ht="18" customHeight="1">
      <c r="A7" s="1" t="s">
        <v>48</v>
      </c>
      <c r="B7">
        <v>3</v>
      </c>
      <c r="C7">
        <v>2</v>
      </c>
      <c r="D7">
        <v>2</v>
      </c>
      <c r="E7">
        <v>0</v>
      </c>
      <c r="F7">
        <v>2</v>
      </c>
      <c r="G7">
        <v>1</v>
      </c>
      <c r="H7">
        <v>0</v>
      </c>
      <c r="I7">
        <v>0</v>
      </c>
      <c r="J7">
        <v>2</v>
      </c>
      <c r="K7">
        <v>0</v>
      </c>
      <c r="L7" s="1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>1</v>
      </c>
      <c r="M7" s="1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>1</v>
      </c>
      <c r="N7" s="1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>0</v>
      </c>
      <c r="O7" s="1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>1</v>
      </c>
    </row>
    <row r="8" spans="1:15" ht="18" customHeight="1">
      <c r="A8" s="1" t="s">
        <v>49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2</v>
      </c>
      <c r="I8">
        <v>2</v>
      </c>
      <c r="J8">
        <v>2</v>
      </c>
      <c r="K8">
        <v>1</v>
      </c>
      <c r="L8" s="1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>2</v>
      </c>
      <c r="M8" s="1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>2</v>
      </c>
      <c r="N8" s="1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>1</v>
      </c>
      <c r="O8" s="1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>0</v>
      </c>
    </row>
    <row r="9" spans="1:15" ht="18" customHeight="1">
      <c r="A9" s="1" t="s">
        <v>50</v>
      </c>
      <c r="B9">
        <v>1</v>
      </c>
      <c r="C9">
        <v>1</v>
      </c>
      <c r="D9">
        <v>1</v>
      </c>
      <c r="E9">
        <v>1</v>
      </c>
      <c r="F9">
        <v>0</v>
      </c>
      <c r="G9">
        <v>2</v>
      </c>
      <c r="H9">
        <v>1</v>
      </c>
      <c r="I9">
        <v>0</v>
      </c>
      <c r="J9">
        <v>0</v>
      </c>
      <c r="K9">
        <v>0</v>
      </c>
      <c r="L9" s="1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>2</v>
      </c>
      <c r="M9" s="1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>0</v>
      </c>
      <c r="N9" s="1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>0</v>
      </c>
      <c r="O9" s="1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>1</v>
      </c>
    </row>
    <row r="10" spans="1:15" ht="18" customHeight="1">
      <c r="A10" s="1" t="s">
        <v>51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52</v>
      </c>
      <c r="B11">
        <v>1</v>
      </c>
      <c r="C11">
        <v>2</v>
      </c>
      <c r="D11">
        <v>1</v>
      </c>
      <c r="E11">
        <v>0</v>
      </c>
      <c r="F11">
        <v>1</v>
      </c>
      <c r="G11">
        <v>1</v>
      </c>
      <c r="H11">
        <v>2</v>
      </c>
      <c r="I11">
        <v>1</v>
      </c>
      <c r="J11">
        <v>1</v>
      </c>
      <c r="K11">
        <v>1</v>
      </c>
      <c r="L11" s="1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>0</v>
      </c>
      <c r="M11" s="1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>0</v>
      </c>
      <c r="N11" s="1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>0</v>
      </c>
      <c r="O11" s="1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>0</v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9</v>
      </c>
      <c r="M12" s="6">
        <f>SUM(M2:M11)</f>
        <v>9</v>
      </c>
      <c r="N12" s="6">
        <f>SUM(N2:N11)</f>
        <v>2</v>
      </c>
      <c r="O12" s="6">
        <f>SUM(O2:O11)</f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53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54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55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56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57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58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59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60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61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62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63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64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65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66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67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68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69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70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71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72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73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74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75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76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77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78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79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80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81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82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83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84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85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86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87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88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89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90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91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92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93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94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95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96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97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98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99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100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101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102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103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104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105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106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107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108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109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110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111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112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113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114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115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116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117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118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119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120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121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122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123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124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125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126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127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128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129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130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131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132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133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134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135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136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137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138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139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140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141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142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143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144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145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146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147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148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149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150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151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152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153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154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155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156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157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158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159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160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161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162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163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164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165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166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167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168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169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170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171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172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173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174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175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176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177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178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179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180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181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182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183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184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185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186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187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188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189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190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191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192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193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194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195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196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197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198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199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200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201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202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203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204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205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206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207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208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209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210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211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212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213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214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215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216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217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218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219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220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221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222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223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224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225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226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227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228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229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230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231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232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233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234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235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236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237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238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239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240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241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242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243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244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245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246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247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248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249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250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251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252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253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254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255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256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257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258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259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260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261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262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263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264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265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266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267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268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269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270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271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272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273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274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275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276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277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278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279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280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281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282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283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284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285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286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287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288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289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290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291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292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293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294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295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296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297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298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299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300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301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302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303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304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305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306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307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308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309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310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311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312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313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314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315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316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317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318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319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320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321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322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323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324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325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326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327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328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329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330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331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332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333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334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335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336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337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338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339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340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341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342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343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344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345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346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347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348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349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350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351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352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353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354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355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356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357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358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359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360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361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362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363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364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365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366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367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368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369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370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371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372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373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374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375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376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377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378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379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380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381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382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383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384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385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386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387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388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389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390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391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392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6" customWidth="1"/>
    <col min="3" max="3" width="17" customWidth="1"/>
    <col min="4" max="11" width="11" customWidth="1"/>
    <col min="12" max="15" width="12" customWidth="1"/>
  </cols>
  <sheetData>
    <row r="1" spans="1:15" ht="18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18" customHeight="1">
      <c r="A2" s="1" t="s">
        <v>393</v>
      </c>
      <c r="L2" s="1" t="str">
        <f>IF(OR($B2="",$C2="",D2="",E2=""),"",IF(AND(D2=$B2,E2=$C2),INDEX(Parametri!$B:$B,MATCH("Punti Risultato Esatto",Parametri!$A:$A,0)),IF(SIGN($B2-$C2)=SIGN(D2-E2),INDEX(Parametri!$B:$B,MATCH("Punti Solo Segno",Parametri!$A:$A,0)),0))+IF(AND(SIGN($B2-$C2)=SIGN(D2-E2),(--(SIGN(D2-E2)=SIGN($B2-$C2))+--(SIGN(F2-G2)=SIGN($B2-$C2))+--(SIGN(H2-I2)=SIGN($B2-$C2))+--(SIGN(J2-K2)=SIGN($B2-$C2)))=1),INDEX(Parametri!$B:$B,MATCH("Punti Bonus Unico",Parametri!$A:$A,0)),0))</f>
        <v/>
      </c>
      <c r="M2" s="1" t="str">
        <f>IF(OR($B2="",$C2="",F2="",G2=""),"",IF(AND(F2=$B2,G2=$C2),INDEX(Parametri!$B:$B,MATCH("Punti Risultato Esatto",Parametri!$A:$A,0)),IF(SIGN($B2-$C2)=SIGN(F2-G2),INDEX(Parametri!$B:$B,MATCH("Punti Solo Segno",Parametri!$A:$A,0)),0))+IF(AND(SIGN($B2-$C2)=SIGN(F2-G2),(--(SIGN(D2-E2)=SIGN($B2-$C2))+--(SIGN(F2-G2)=SIGN($B2-$C2))+--(SIGN(H2-I2)=SIGN($B2-$C2))+--(SIGN(J2-K2)=SIGN($B2-$C2)))=1),INDEX(Parametri!$B:$B,MATCH("Punti Bonus Unico",Parametri!$A:$A,0)),0))</f>
        <v/>
      </c>
      <c r="N2" s="1" t="str">
        <f>IF(OR($B2="",$C2="",H2="",I2=""),"",IF(AND(H2=$B2,I2=$C2),INDEX(Parametri!$B:$B,MATCH("Punti Risultato Esatto",Parametri!$A:$A,0)),IF(SIGN($B2-$C2)=SIGN(H2-I2),INDEX(Parametri!$B:$B,MATCH("Punti Solo Segno",Parametri!$A:$A,0)),0))+IF(AND(SIGN($B2-$C2)=SIGN(H2-I2),(--(SIGN(D2-E2)=SIGN($B2-$C2))+--(SIGN(F2-G2)=SIGN($B2-$C2))+--(SIGN(H2-I2)=SIGN($B2-$C2))+--(SIGN(J2-K2)=SIGN($B2-$C2)))=1),INDEX(Parametri!$B:$B,MATCH("Punti Bonus Unico",Parametri!$A:$A,0)),0))</f>
        <v/>
      </c>
      <c r="O2" s="1" t="str">
        <f>IF(OR($B2="",$C2="",J2="",K2=""),"",IF(AND(J2=$B2,K2=$C2),INDEX(Parametri!$B:$B,MATCH("Punti Risultato Esatto",Parametri!$A:$A,0)),IF(SIGN($B2-$C2)=SIGN(J2-K2),INDEX(Parametri!$B:$B,MATCH("Punti Solo Segno",Parametri!$A:$A,0)),0))+IF(AND(SIGN($B2-$C2)=SIGN(J2-K2),(--(SIGN(D2-E2)=SIGN($B2-$C2))+--(SIGN(F2-G2)=SIGN($B2-$C2))+--(SIGN(H2-I2)=SIGN($B2-$C2))+--(SIGN(J2-K2)=SIGN($B2-$C2)))=1),INDEX(Parametri!$B:$B,MATCH("Punti Bonus Unico",Parametri!$A:$A,0)),0))</f>
        <v/>
      </c>
    </row>
    <row r="3" spans="1:15" ht="18" customHeight="1">
      <c r="A3" s="1" t="s">
        <v>394</v>
      </c>
      <c r="L3" s="1" t="str">
        <f>IF(OR($B3="",$C3="",D3="",E3=""),"",IF(AND(D3=$B3,E3=$C3),INDEX(Parametri!$B:$B,MATCH("Punti Risultato Esatto",Parametri!$A:$A,0)),IF(SIGN($B3-$C3)=SIGN(D3-E3),INDEX(Parametri!$B:$B,MATCH("Punti Solo Segno",Parametri!$A:$A,0)),0))+IF(AND(SIGN($B3-$C3)=SIGN(D3-E3),(--(SIGN(D3-E3)=SIGN($B3-$C3))+--(SIGN(F3-G3)=SIGN($B3-$C3))+--(SIGN(H3-I3)=SIGN($B3-$C3))+--(SIGN(J3-K3)=SIGN($B3-$C3)))=1),INDEX(Parametri!$B:$B,MATCH("Punti Bonus Unico",Parametri!$A:$A,0)),0))</f>
        <v/>
      </c>
      <c r="M3" s="1" t="str">
        <f>IF(OR($B3="",$C3="",F3="",G3=""),"",IF(AND(F3=$B3,G3=$C3),INDEX(Parametri!$B:$B,MATCH("Punti Risultato Esatto",Parametri!$A:$A,0)),IF(SIGN($B3-$C3)=SIGN(F3-G3),INDEX(Parametri!$B:$B,MATCH("Punti Solo Segno",Parametri!$A:$A,0)),0))+IF(AND(SIGN($B3-$C3)=SIGN(F3-G3),(--(SIGN(D3-E3)=SIGN($B3-$C3))+--(SIGN(F3-G3)=SIGN($B3-$C3))+--(SIGN(H3-I3)=SIGN($B3-$C3))+--(SIGN(J3-K3)=SIGN($B3-$C3)))=1),INDEX(Parametri!$B:$B,MATCH("Punti Bonus Unico",Parametri!$A:$A,0)),0))</f>
        <v/>
      </c>
      <c r="N3" s="1" t="str">
        <f>IF(OR($B3="",$C3="",H3="",I3=""),"",IF(AND(H3=$B3,I3=$C3),INDEX(Parametri!$B:$B,MATCH("Punti Risultato Esatto",Parametri!$A:$A,0)),IF(SIGN($B3-$C3)=SIGN(H3-I3),INDEX(Parametri!$B:$B,MATCH("Punti Solo Segno",Parametri!$A:$A,0)),0))+IF(AND(SIGN($B3-$C3)=SIGN(H3-I3),(--(SIGN(D3-E3)=SIGN($B3-$C3))+--(SIGN(F3-G3)=SIGN($B3-$C3))+--(SIGN(H3-I3)=SIGN($B3-$C3))+--(SIGN(J3-K3)=SIGN($B3-$C3)))=1),INDEX(Parametri!$B:$B,MATCH("Punti Bonus Unico",Parametri!$A:$A,0)),0))</f>
        <v/>
      </c>
      <c r="O3" s="1" t="str">
        <f>IF(OR($B3="",$C3="",J3="",K3=""),"",IF(AND(J3=$B3,K3=$C3),INDEX(Parametri!$B:$B,MATCH("Punti Risultato Esatto",Parametri!$A:$A,0)),IF(SIGN($B3-$C3)=SIGN(J3-K3),INDEX(Parametri!$B:$B,MATCH("Punti Solo Segno",Parametri!$A:$A,0)),0))+IF(AND(SIGN($B3-$C3)=SIGN(J3-K3),(--(SIGN(D3-E3)=SIGN($B3-$C3))+--(SIGN(F3-G3)=SIGN($B3-$C3))+--(SIGN(H3-I3)=SIGN($B3-$C3))+--(SIGN(J3-K3)=SIGN($B3-$C3)))=1),INDEX(Parametri!$B:$B,MATCH("Punti Bonus Unico",Parametri!$A:$A,0)),0))</f>
        <v/>
      </c>
    </row>
    <row r="4" spans="1:15" ht="18" customHeight="1">
      <c r="A4" s="1" t="s">
        <v>395</v>
      </c>
      <c r="L4" s="1" t="str">
        <f>IF(OR($B4="",$C4="",D4="",E4=""),"",IF(AND(D4=$B4,E4=$C4),INDEX(Parametri!$B:$B,MATCH("Punti Risultato Esatto",Parametri!$A:$A,0)),IF(SIGN($B4-$C4)=SIGN(D4-E4),INDEX(Parametri!$B:$B,MATCH("Punti Solo Segno",Parametri!$A:$A,0)),0))+IF(AND(SIGN($B4-$C4)=SIGN(D4-E4),(--(SIGN(D4-E4)=SIGN($B4-$C4))+--(SIGN(F4-G4)=SIGN($B4-$C4))+--(SIGN(H4-I4)=SIGN($B4-$C4))+--(SIGN(J4-K4)=SIGN($B4-$C4)))=1),INDEX(Parametri!$B:$B,MATCH("Punti Bonus Unico",Parametri!$A:$A,0)),0))</f>
        <v/>
      </c>
      <c r="M4" s="1" t="str">
        <f>IF(OR($B4="",$C4="",F4="",G4=""),"",IF(AND(F4=$B4,G4=$C4),INDEX(Parametri!$B:$B,MATCH("Punti Risultato Esatto",Parametri!$A:$A,0)),IF(SIGN($B4-$C4)=SIGN(F4-G4),INDEX(Parametri!$B:$B,MATCH("Punti Solo Segno",Parametri!$A:$A,0)),0))+IF(AND(SIGN($B4-$C4)=SIGN(F4-G4),(--(SIGN(D4-E4)=SIGN($B4-$C4))+--(SIGN(F4-G4)=SIGN($B4-$C4))+--(SIGN(H4-I4)=SIGN($B4-$C4))+--(SIGN(J4-K4)=SIGN($B4-$C4)))=1),INDEX(Parametri!$B:$B,MATCH("Punti Bonus Unico",Parametri!$A:$A,0)),0))</f>
        <v/>
      </c>
      <c r="N4" s="1" t="str">
        <f>IF(OR($B4="",$C4="",H4="",I4=""),"",IF(AND(H4=$B4,I4=$C4),INDEX(Parametri!$B:$B,MATCH("Punti Risultato Esatto",Parametri!$A:$A,0)),IF(SIGN($B4-$C4)=SIGN(H4-I4),INDEX(Parametri!$B:$B,MATCH("Punti Solo Segno",Parametri!$A:$A,0)),0))+IF(AND(SIGN($B4-$C4)=SIGN(H4-I4),(--(SIGN(D4-E4)=SIGN($B4-$C4))+--(SIGN(F4-G4)=SIGN($B4-$C4))+--(SIGN(H4-I4)=SIGN($B4-$C4))+--(SIGN(J4-K4)=SIGN($B4-$C4)))=1),INDEX(Parametri!$B:$B,MATCH("Punti Bonus Unico",Parametri!$A:$A,0)),0))</f>
        <v/>
      </c>
      <c r="O4" s="1" t="str">
        <f>IF(OR($B4="",$C4="",J4="",K4=""),"",IF(AND(J4=$B4,K4=$C4),INDEX(Parametri!$B:$B,MATCH("Punti Risultato Esatto",Parametri!$A:$A,0)),IF(SIGN($B4-$C4)=SIGN(J4-K4),INDEX(Parametri!$B:$B,MATCH("Punti Solo Segno",Parametri!$A:$A,0)),0))+IF(AND(SIGN($B4-$C4)=SIGN(J4-K4),(--(SIGN(D4-E4)=SIGN($B4-$C4))+--(SIGN(F4-G4)=SIGN($B4-$C4))+--(SIGN(H4-I4)=SIGN($B4-$C4))+--(SIGN(J4-K4)=SIGN($B4-$C4)))=1),INDEX(Parametri!$B:$B,MATCH("Punti Bonus Unico",Parametri!$A:$A,0)),0))</f>
        <v/>
      </c>
    </row>
    <row r="5" spans="1:15" ht="18" customHeight="1">
      <c r="A5" s="1" t="s">
        <v>396</v>
      </c>
      <c r="L5" s="1" t="str">
        <f>IF(OR($B5="",$C5="",D5="",E5=""),"",IF(AND(D5=$B5,E5=$C5),INDEX(Parametri!$B:$B,MATCH("Punti Risultato Esatto",Parametri!$A:$A,0)),IF(SIGN($B5-$C5)=SIGN(D5-E5),INDEX(Parametri!$B:$B,MATCH("Punti Solo Segno",Parametri!$A:$A,0)),0))+IF(AND(SIGN($B5-$C5)=SIGN(D5-E5),(--(SIGN(D5-E5)=SIGN($B5-$C5))+--(SIGN(F5-G5)=SIGN($B5-$C5))+--(SIGN(H5-I5)=SIGN($B5-$C5))+--(SIGN(J5-K5)=SIGN($B5-$C5)))=1),INDEX(Parametri!$B:$B,MATCH("Punti Bonus Unico",Parametri!$A:$A,0)),0))</f>
        <v/>
      </c>
      <c r="M5" s="1" t="str">
        <f>IF(OR($B5="",$C5="",F5="",G5=""),"",IF(AND(F5=$B5,G5=$C5),INDEX(Parametri!$B:$B,MATCH("Punti Risultato Esatto",Parametri!$A:$A,0)),IF(SIGN($B5-$C5)=SIGN(F5-G5),INDEX(Parametri!$B:$B,MATCH("Punti Solo Segno",Parametri!$A:$A,0)),0))+IF(AND(SIGN($B5-$C5)=SIGN(F5-G5),(--(SIGN(D5-E5)=SIGN($B5-$C5))+--(SIGN(F5-G5)=SIGN($B5-$C5))+--(SIGN(H5-I5)=SIGN($B5-$C5))+--(SIGN(J5-K5)=SIGN($B5-$C5)))=1),INDEX(Parametri!$B:$B,MATCH("Punti Bonus Unico",Parametri!$A:$A,0)),0))</f>
        <v/>
      </c>
      <c r="N5" s="1" t="str">
        <f>IF(OR($B5="",$C5="",H5="",I5=""),"",IF(AND(H5=$B5,I5=$C5),INDEX(Parametri!$B:$B,MATCH("Punti Risultato Esatto",Parametri!$A:$A,0)),IF(SIGN($B5-$C5)=SIGN(H5-I5),INDEX(Parametri!$B:$B,MATCH("Punti Solo Segno",Parametri!$A:$A,0)),0))+IF(AND(SIGN($B5-$C5)=SIGN(H5-I5),(--(SIGN(D5-E5)=SIGN($B5-$C5))+--(SIGN(F5-G5)=SIGN($B5-$C5))+--(SIGN(H5-I5)=SIGN($B5-$C5))+--(SIGN(J5-K5)=SIGN($B5-$C5)))=1),INDEX(Parametri!$B:$B,MATCH("Punti Bonus Unico",Parametri!$A:$A,0)),0))</f>
        <v/>
      </c>
      <c r="O5" s="1" t="str">
        <f>IF(OR($B5="",$C5="",J5="",K5=""),"",IF(AND(J5=$B5,K5=$C5),INDEX(Parametri!$B:$B,MATCH("Punti Risultato Esatto",Parametri!$A:$A,0)),IF(SIGN($B5-$C5)=SIGN(J5-K5),INDEX(Parametri!$B:$B,MATCH("Punti Solo Segno",Parametri!$A:$A,0)),0))+IF(AND(SIGN($B5-$C5)=SIGN(J5-K5),(--(SIGN(D5-E5)=SIGN($B5-$C5))+--(SIGN(F5-G5)=SIGN($B5-$C5))+--(SIGN(H5-I5)=SIGN($B5-$C5))+--(SIGN(J5-K5)=SIGN($B5-$C5)))=1),INDEX(Parametri!$B:$B,MATCH("Punti Bonus Unico",Parametri!$A:$A,0)),0))</f>
        <v/>
      </c>
    </row>
    <row r="6" spans="1:15" ht="18" customHeight="1">
      <c r="A6" s="1" t="s">
        <v>397</v>
      </c>
      <c r="L6" s="1" t="str">
        <f>IF(OR($B6="",$C6="",D6="",E6=""),"",IF(AND(D6=$B6,E6=$C6),INDEX(Parametri!$B:$B,MATCH("Punti Risultato Esatto",Parametri!$A:$A,0)),IF(SIGN($B6-$C6)=SIGN(D6-E6),INDEX(Parametri!$B:$B,MATCH("Punti Solo Segno",Parametri!$A:$A,0)),0))+IF(AND(SIGN($B6-$C6)=SIGN(D6-E6),(--(SIGN(D6-E6)=SIGN($B6-$C6))+--(SIGN(F6-G6)=SIGN($B6-$C6))+--(SIGN(H6-I6)=SIGN($B6-$C6))+--(SIGN(J6-K6)=SIGN($B6-$C6)))=1),INDEX(Parametri!$B:$B,MATCH("Punti Bonus Unico",Parametri!$A:$A,0)),0))</f>
        <v/>
      </c>
      <c r="M6" s="1" t="str">
        <f>IF(OR($B6="",$C6="",F6="",G6=""),"",IF(AND(F6=$B6,G6=$C6),INDEX(Parametri!$B:$B,MATCH("Punti Risultato Esatto",Parametri!$A:$A,0)),IF(SIGN($B6-$C6)=SIGN(F6-G6),INDEX(Parametri!$B:$B,MATCH("Punti Solo Segno",Parametri!$A:$A,0)),0))+IF(AND(SIGN($B6-$C6)=SIGN(F6-G6),(--(SIGN(D6-E6)=SIGN($B6-$C6))+--(SIGN(F6-G6)=SIGN($B6-$C6))+--(SIGN(H6-I6)=SIGN($B6-$C6))+--(SIGN(J6-K6)=SIGN($B6-$C6)))=1),INDEX(Parametri!$B:$B,MATCH("Punti Bonus Unico",Parametri!$A:$A,0)),0))</f>
        <v/>
      </c>
      <c r="N6" s="1" t="str">
        <f>IF(OR($B6="",$C6="",H6="",I6=""),"",IF(AND(H6=$B6,I6=$C6),INDEX(Parametri!$B:$B,MATCH("Punti Risultato Esatto",Parametri!$A:$A,0)),IF(SIGN($B6-$C6)=SIGN(H6-I6),INDEX(Parametri!$B:$B,MATCH("Punti Solo Segno",Parametri!$A:$A,0)),0))+IF(AND(SIGN($B6-$C6)=SIGN(H6-I6),(--(SIGN(D6-E6)=SIGN($B6-$C6))+--(SIGN(F6-G6)=SIGN($B6-$C6))+--(SIGN(H6-I6)=SIGN($B6-$C6))+--(SIGN(J6-K6)=SIGN($B6-$C6)))=1),INDEX(Parametri!$B:$B,MATCH("Punti Bonus Unico",Parametri!$A:$A,0)),0))</f>
        <v/>
      </c>
      <c r="O6" s="1" t="str">
        <f>IF(OR($B6="",$C6="",J6="",K6=""),"",IF(AND(J6=$B6,K6=$C6),INDEX(Parametri!$B:$B,MATCH("Punti Risultato Esatto",Parametri!$A:$A,0)),IF(SIGN($B6-$C6)=SIGN(J6-K6),INDEX(Parametri!$B:$B,MATCH("Punti Solo Segno",Parametri!$A:$A,0)),0))+IF(AND(SIGN($B6-$C6)=SIGN(J6-K6),(--(SIGN(D6-E6)=SIGN($B6-$C6))+--(SIGN(F6-G6)=SIGN($B6-$C6))+--(SIGN(H6-I6)=SIGN($B6-$C6))+--(SIGN(J6-K6)=SIGN($B6-$C6)))=1),INDEX(Parametri!$B:$B,MATCH("Punti Bonus Unico",Parametri!$A:$A,0)),0))</f>
        <v/>
      </c>
    </row>
    <row r="7" spans="1:15" ht="18" customHeight="1">
      <c r="A7" s="1" t="s">
        <v>398</v>
      </c>
      <c r="L7" s="1" t="str">
        <f>IF(OR($B7="",$C7="",D7="",E7=""),"",IF(AND(D7=$B7,E7=$C7),INDEX(Parametri!$B:$B,MATCH("Punti Risultato Esatto",Parametri!$A:$A,0)),IF(SIGN($B7-$C7)=SIGN(D7-E7),INDEX(Parametri!$B:$B,MATCH("Punti Solo Segno",Parametri!$A:$A,0)),0))+IF(AND(SIGN($B7-$C7)=SIGN(D7-E7),(--(SIGN(D7-E7)=SIGN($B7-$C7))+--(SIGN(F7-G7)=SIGN($B7-$C7))+--(SIGN(H7-I7)=SIGN($B7-$C7))+--(SIGN(J7-K7)=SIGN($B7-$C7)))=1),INDEX(Parametri!$B:$B,MATCH("Punti Bonus Unico",Parametri!$A:$A,0)),0))</f>
        <v/>
      </c>
      <c r="M7" s="1" t="str">
        <f>IF(OR($B7="",$C7="",F7="",G7=""),"",IF(AND(F7=$B7,G7=$C7),INDEX(Parametri!$B:$B,MATCH("Punti Risultato Esatto",Parametri!$A:$A,0)),IF(SIGN($B7-$C7)=SIGN(F7-G7),INDEX(Parametri!$B:$B,MATCH("Punti Solo Segno",Parametri!$A:$A,0)),0))+IF(AND(SIGN($B7-$C7)=SIGN(F7-G7),(--(SIGN(D7-E7)=SIGN($B7-$C7))+--(SIGN(F7-G7)=SIGN($B7-$C7))+--(SIGN(H7-I7)=SIGN($B7-$C7))+--(SIGN(J7-K7)=SIGN($B7-$C7)))=1),INDEX(Parametri!$B:$B,MATCH("Punti Bonus Unico",Parametri!$A:$A,0)),0))</f>
        <v/>
      </c>
      <c r="N7" s="1" t="str">
        <f>IF(OR($B7="",$C7="",H7="",I7=""),"",IF(AND(H7=$B7,I7=$C7),INDEX(Parametri!$B:$B,MATCH("Punti Risultato Esatto",Parametri!$A:$A,0)),IF(SIGN($B7-$C7)=SIGN(H7-I7),INDEX(Parametri!$B:$B,MATCH("Punti Solo Segno",Parametri!$A:$A,0)),0))+IF(AND(SIGN($B7-$C7)=SIGN(H7-I7),(--(SIGN(D7-E7)=SIGN($B7-$C7))+--(SIGN(F7-G7)=SIGN($B7-$C7))+--(SIGN(H7-I7)=SIGN($B7-$C7))+--(SIGN(J7-K7)=SIGN($B7-$C7)))=1),INDEX(Parametri!$B:$B,MATCH("Punti Bonus Unico",Parametri!$A:$A,0)),0))</f>
        <v/>
      </c>
      <c r="O7" s="1" t="str">
        <f>IF(OR($B7="",$C7="",J7="",K7=""),"",IF(AND(J7=$B7,K7=$C7),INDEX(Parametri!$B:$B,MATCH("Punti Risultato Esatto",Parametri!$A:$A,0)),IF(SIGN($B7-$C7)=SIGN(J7-K7),INDEX(Parametri!$B:$B,MATCH("Punti Solo Segno",Parametri!$A:$A,0)),0))+IF(AND(SIGN($B7-$C7)=SIGN(J7-K7),(--(SIGN(D7-E7)=SIGN($B7-$C7))+--(SIGN(F7-G7)=SIGN($B7-$C7))+--(SIGN(H7-I7)=SIGN($B7-$C7))+--(SIGN(J7-K7)=SIGN($B7-$C7)))=1),INDEX(Parametri!$B:$B,MATCH("Punti Bonus Unico",Parametri!$A:$A,0)),0))</f>
        <v/>
      </c>
    </row>
    <row r="8" spans="1:15" ht="18" customHeight="1">
      <c r="A8" s="1" t="s">
        <v>399</v>
      </c>
      <c r="L8" s="1" t="str">
        <f>IF(OR($B8="",$C8="",D8="",E8=""),"",IF(AND(D8=$B8,E8=$C8),INDEX(Parametri!$B:$B,MATCH("Punti Risultato Esatto",Parametri!$A:$A,0)),IF(SIGN($B8-$C8)=SIGN(D8-E8),INDEX(Parametri!$B:$B,MATCH("Punti Solo Segno",Parametri!$A:$A,0)),0))+IF(AND(SIGN($B8-$C8)=SIGN(D8-E8),(--(SIGN(D8-E8)=SIGN($B8-$C8))+--(SIGN(F8-G8)=SIGN($B8-$C8))+--(SIGN(H8-I8)=SIGN($B8-$C8))+--(SIGN(J8-K8)=SIGN($B8-$C8)))=1),INDEX(Parametri!$B:$B,MATCH("Punti Bonus Unico",Parametri!$A:$A,0)),0))</f>
        <v/>
      </c>
      <c r="M8" s="1" t="str">
        <f>IF(OR($B8="",$C8="",F8="",G8=""),"",IF(AND(F8=$B8,G8=$C8),INDEX(Parametri!$B:$B,MATCH("Punti Risultato Esatto",Parametri!$A:$A,0)),IF(SIGN($B8-$C8)=SIGN(F8-G8),INDEX(Parametri!$B:$B,MATCH("Punti Solo Segno",Parametri!$A:$A,0)),0))+IF(AND(SIGN($B8-$C8)=SIGN(F8-G8),(--(SIGN(D8-E8)=SIGN($B8-$C8))+--(SIGN(F8-G8)=SIGN($B8-$C8))+--(SIGN(H8-I8)=SIGN($B8-$C8))+--(SIGN(J8-K8)=SIGN($B8-$C8)))=1),INDEX(Parametri!$B:$B,MATCH("Punti Bonus Unico",Parametri!$A:$A,0)),0))</f>
        <v/>
      </c>
      <c r="N8" s="1" t="str">
        <f>IF(OR($B8="",$C8="",H8="",I8=""),"",IF(AND(H8=$B8,I8=$C8),INDEX(Parametri!$B:$B,MATCH("Punti Risultato Esatto",Parametri!$A:$A,0)),IF(SIGN($B8-$C8)=SIGN(H8-I8),INDEX(Parametri!$B:$B,MATCH("Punti Solo Segno",Parametri!$A:$A,0)),0))+IF(AND(SIGN($B8-$C8)=SIGN(H8-I8),(--(SIGN(D8-E8)=SIGN($B8-$C8))+--(SIGN(F8-G8)=SIGN($B8-$C8))+--(SIGN(H8-I8)=SIGN($B8-$C8))+--(SIGN(J8-K8)=SIGN($B8-$C8)))=1),INDEX(Parametri!$B:$B,MATCH("Punti Bonus Unico",Parametri!$A:$A,0)),0))</f>
        <v/>
      </c>
      <c r="O8" s="1" t="str">
        <f>IF(OR($B8="",$C8="",J8="",K8=""),"",IF(AND(J8=$B8,K8=$C8),INDEX(Parametri!$B:$B,MATCH("Punti Risultato Esatto",Parametri!$A:$A,0)),IF(SIGN($B8-$C8)=SIGN(J8-K8),INDEX(Parametri!$B:$B,MATCH("Punti Solo Segno",Parametri!$A:$A,0)),0))+IF(AND(SIGN($B8-$C8)=SIGN(J8-K8),(--(SIGN(D8-E8)=SIGN($B8-$C8))+--(SIGN(F8-G8)=SIGN($B8-$C8))+--(SIGN(H8-I8)=SIGN($B8-$C8))+--(SIGN(J8-K8)=SIGN($B8-$C8)))=1),INDEX(Parametri!$B:$B,MATCH("Punti Bonus Unico",Parametri!$A:$A,0)),0))</f>
        <v/>
      </c>
    </row>
    <row r="9" spans="1:15" ht="18" customHeight="1">
      <c r="A9" s="1" t="s">
        <v>400</v>
      </c>
      <c r="L9" s="1" t="str">
        <f>IF(OR($B9="",$C9="",D9="",E9=""),"",IF(AND(D9=$B9,E9=$C9),INDEX(Parametri!$B:$B,MATCH("Punti Risultato Esatto",Parametri!$A:$A,0)),IF(SIGN($B9-$C9)=SIGN(D9-E9),INDEX(Parametri!$B:$B,MATCH("Punti Solo Segno",Parametri!$A:$A,0)),0))+IF(AND(SIGN($B9-$C9)=SIGN(D9-E9),(--(SIGN(D9-E9)=SIGN($B9-$C9))+--(SIGN(F9-G9)=SIGN($B9-$C9))+--(SIGN(H9-I9)=SIGN($B9-$C9))+--(SIGN(J9-K9)=SIGN($B9-$C9)))=1),INDEX(Parametri!$B:$B,MATCH("Punti Bonus Unico",Parametri!$A:$A,0)),0))</f>
        <v/>
      </c>
      <c r="M9" s="1" t="str">
        <f>IF(OR($B9="",$C9="",F9="",G9=""),"",IF(AND(F9=$B9,G9=$C9),INDEX(Parametri!$B:$B,MATCH("Punti Risultato Esatto",Parametri!$A:$A,0)),IF(SIGN($B9-$C9)=SIGN(F9-G9),INDEX(Parametri!$B:$B,MATCH("Punti Solo Segno",Parametri!$A:$A,0)),0))+IF(AND(SIGN($B9-$C9)=SIGN(F9-G9),(--(SIGN(D9-E9)=SIGN($B9-$C9))+--(SIGN(F9-G9)=SIGN($B9-$C9))+--(SIGN(H9-I9)=SIGN($B9-$C9))+--(SIGN(J9-K9)=SIGN($B9-$C9)))=1),INDEX(Parametri!$B:$B,MATCH("Punti Bonus Unico",Parametri!$A:$A,0)),0))</f>
        <v/>
      </c>
      <c r="N9" s="1" t="str">
        <f>IF(OR($B9="",$C9="",H9="",I9=""),"",IF(AND(H9=$B9,I9=$C9),INDEX(Parametri!$B:$B,MATCH("Punti Risultato Esatto",Parametri!$A:$A,0)),IF(SIGN($B9-$C9)=SIGN(H9-I9),INDEX(Parametri!$B:$B,MATCH("Punti Solo Segno",Parametri!$A:$A,0)),0))+IF(AND(SIGN($B9-$C9)=SIGN(H9-I9),(--(SIGN(D9-E9)=SIGN($B9-$C9))+--(SIGN(F9-G9)=SIGN($B9-$C9))+--(SIGN(H9-I9)=SIGN($B9-$C9))+--(SIGN(J9-K9)=SIGN($B9-$C9)))=1),INDEX(Parametri!$B:$B,MATCH("Punti Bonus Unico",Parametri!$A:$A,0)),0))</f>
        <v/>
      </c>
      <c r="O9" s="1" t="str">
        <f>IF(OR($B9="",$C9="",J9="",K9=""),"",IF(AND(J9=$B9,K9=$C9),INDEX(Parametri!$B:$B,MATCH("Punti Risultato Esatto",Parametri!$A:$A,0)),IF(SIGN($B9-$C9)=SIGN(J9-K9),INDEX(Parametri!$B:$B,MATCH("Punti Solo Segno",Parametri!$A:$A,0)),0))+IF(AND(SIGN($B9-$C9)=SIGN(J9-K9),(--(SIGN(D9-E9)=SIGN($B9-$C9))+--(SIGN(F9-G9)=SIGN($B9-$C9))+--(SIGN(H9-I9)=SIGN($B9-$C9))+--(SIGN(J9-K9)=SIGN($B9-$C9)))=1),INDEX(Parametri!$B:$B,MATCH("Punti Bonus Unico",Parametri!$A:$A,0)),0))</f>
        <v/>
      </c>
    </row>
    <row r="10" spans="1:15" ht="18" customHeight="1">
      <c r="A10" s="1" t="s">
        <v>401</v>
      </c>
      <c r="L10" s="1" t="str">
        <f>IF(OR($B10="",$C10="",D10="",E10=""),"",IF(AND(D10=$B10,E10=$C10),INDEX(Parametri!$B:$B,MATCH("Punti Risultato Esatto",Parametri!$A:$A,0)),IF(SIGN($B10-$C10)=SIGN(D10-E10),INDEX(Parametri!$B:$B,MATCH("Punti Solo Segno",Parametri!$A:$A,0)),0))+IF(AND(SIGN($B10-$C10)=SIGN(D10-E10),(--(SIGN(D10-E10)=SIGN($B10-$C10))+--(SIGN(F10-G10)=SIGN($B10-$C10))+--(SIGN(H10-I10)=SIGN($B10-$C10))+--(SIGN(J10-K10)=SIGN($B10-$C10)))=1),INDEX(Parametri!$B:$B,MATCH("Punti Bonus Unico",Parametri!$A:$A,0)),0))</f>
        <v/>
      </c>
      <c r="M10" s="1" t="str">
        <f>IF(OR($B10="",$C10="",F10="",G10=""),"",IF(AND(F10=$B10,G10=$C10),INDEX(Parametri!$B:$B,MATCH("Punti Risultato Esatto",Parametri!$A:$A,0)),IF(SIGN($B10-$C10)=SIGN(F10-G10),INDEX(Parametri!$B:$B,MATCH("Punti Solo Segno",Parametri!$A:$A,0)),0))+IF(AND(SIGN($B10-$C10)=SIGN(F10-G10),(--(SIGN(D10-E10)=SIGN($B10-$C10))+--(SIGN(F10-G10)=SIGN($B10-$C10))+--(SIGN(H10-I10)=SIGN($B10-$C10))+--(SIGN(J10-K10)=SIGN($B10-$C10)))=1),INDEX(Parametri!$B:$B,MATCH("Punti Bonus Unico",Parametri!$A:$A,0)),0))</f>
        <v/>
      </c>
      <c r="N10" s="1" t="str">
        <f>IF(OR($B10="",$C10="",H10="",I10=""),"",IF(AND(H10=$B10,I10=$C10),INDEX(Parametri!$B:$B,MATCH("Punti Risultato Esatto",Parametri!$A:$A,0)),IF(SIGN($B10-$C10)=SIGN(H10-I10),INDEX(Parametri!$B:$B,MATCH("Punti Solo Segno",Parametri!$A:$A,0)),0))+IF(AND(SIGN($B10-$C10)=SIGN(H10-I10),(--(SIGN(D10-E10)=SIGN($B10-$C10))+--(SIGN(F10-G10)=SIGN($B10-$C10))+--(SIGN(H10-I10)=SIGN($B10-$C10))+--(SIGN(J10-K10)=SIGN($B10-$C10)))=1),INDEX(Parametri!$B:$B,MATCH("Punti Bonus Unico",Parametri!$A:$A,0)),0))</f>
        <v/>
      </c>
      <c r="O10" s="1" t="str">
        <f>IF(OR($B10="",$C10="",J10="",K10=""),"",IF(AND(J10=$B10,K10=$C10),INDEX(Parametri!$B:$B,MATCH("Punti Risultato Esatto",Parametri!$A:$A,0)),IF(SIGN($B10-$C10)=SIGN(J10-K10),INDEX(Parametri!$B:$B,MATCH("Punti Solo Segno",Parametri!$A:$A,0)),0))+IF(AND(SIGN($B10-$C10)=SIGN(J10-K10),(--(SIGN(D10-E10)=SIGN($B10-$C10))+--(SIGN(F10-G10)=SIGN($B10-$C10))+--(SIGN(H10-I10)=SIGN($B10-$C10))+--(SIGN(J10-K10)=SIGN($B10-$C10)))=1),INDEX(Parametri!$B:$B,MATCH("Punti Bonus Unico",Parametri!$A:$A,0)),0))</f>
        <v/>
      </c>
    </row>
    <row r="11" spans="1:15" ht="18" customHeight="1">
      <c r="A11" s="1" t="s">
        <v>402</v>
      </c>
      <c r="L11" s="1" t="str">
        <f>IF(OR($B11="",$C11="",D11="",E11=""),"",IF(AND(D11=$B11,E11=$C11),INDEX(Parametri!$B:$B,MATCH("Punti Risultato Esatto",Parametri!$A:$A,0)),IF(SIGN($B11-$C11)=SIGN(D11-E11),INDEX(Parametri!$B:$B,MATCH("Punti Solo Segno",Parametri!$A:$A,0)),0))+IF(AND(SIGN($B11-$C11)=SIGN(D11-E11),(--(SIGN(D11-E11)=SIGN($B11-$C11))+--(SIGN(F11-G11)=SIGN($B11-$C11))+--(SIGN(H11-I11)=SIGN($B11-$C11))+--(SIGN(J11-K11)=SIGN($B11-$C11)))=1),INDEX(Parametri!$B:$B,MATCH("Punti Bonus Unico",Parametri!$A:$A,0)),0))</f>
        <v/>
      </c>
      <c r="M11" s="1" t="str">
        <f>IF(OR($B11="",$C11="",F11="",G11=""),"",IF(AND(F11=$B11,G11=$C11),INDEX(Parametri!$B:$B,MATCH("Punti Risultato Esatto",Parametri!$A:$A,0)),IF(SIGN($B11-$C11)=SIGN(F11-G11),INDEX(Parametri!$B:$B,MATCH("Punti Solo Segno",Parametri!$A:$A,0)),0))+IF(AND(SIGN($B11-$C11)=SIGN(F11-G11),(--(SIGN(D11-E11)=SIGN($B11-$C11))+--(SIGN(F11-G11)=SIGN($B11-$C11))+--(SIGN(H11-I11)=SIGN($B11-$C11))+--(SIGN(J11-K11)=SIGN($B11-$C11)))=1),INDEX(Parametri!$B:$B,MATCH("Punti Bonus Unico",Parametri!$A:$A,0)),0))</f>
        <v/>
      </c>
      <c r="N11" s="1" t="str">
        <f>IF(OR($B11="",$C11="",H11="",I11=""),"",IF(AND(H11=$B11,I11=$C11),INDEX(Parametri!$B:$B,MATCH("Punti Risultato Esatto",Parametri!$A:$A,0)),IF(SIGN($B11-$C11)=SIGN(H11-I11),INDEX(Parametri!$B:$B,MATCH("Punti Solo Segno",Parametri!$A:$A,0)),0))+IF(AND(SIGN($B11-$C11)=SIGN(H11-I11),(--(SIGN(D11-E11)=SIGN($B11-$C11))+--(SIGN(F11-G11)=SIGN($B11-$C11))+--(SIGN(H11-I11)=SIGN($B11-$C11))+--(SIGN(J11-K11)=SIGN($B11-$C11)))=1),INDEX(Parametri!$B:$B,MATCH("Punti Bonus Unico",Parametri!$A:$A,0)),0))</f>
        <v/>
      </c>
      <c r="O11" s="1" t="str">
        <f>IF(OR($B11="",$C11="",J11="",K11=""),"",IF(AND(J11=$B11,K11=$C11),INDEX(Parametri!$B:$B,MATCH("Punti Risultato Esatto",Parametri!$A:$A,0)),IF(SIGN($B11-$C11)=SIGN(J11-K11),INDEX(Parametri!$B:$B,MATCH("Punti Solo Segno",Parametri!$A:$A,0)),0))+IF(AND(SIGN($B11-$C11)=SIGN(J11-K11),(--(SIGN(D11-E11)=SIGN($B11-$C11))+--(SIGN(F11-G11)=SIGN($B11-$C11))+--(SIGN(H11-I11)=SIGN($B11-$C11))+--(SIGN(J11-K11)=SIGN($B11-$C11)))=1),INDEX(Parametri!$B:$B,MATCH("Punti Bonus Unico",Parametri!$A:$A,0)),0))</f>
        <v/>
      </c>
    </row>
    <row r="12" spans="1:15" ht="18" customHeight="1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>
        <f>SUM(L2:L11)</f>
        <v>0</v>
      </c>
      <c r="M12" s="6">
        <f>SUM(M2:M11)</f>
        <v>0</v>
      </c>
      <c r="N12" s="6">
        <f>SUM(N2:N11)</f>
        <v>0</v>
      </c>
      <c r="O12" s="6">
        <f>SUM(O2:O11)</f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1000"/>
  <sheetViews>
    <sheetView workbookViewId="0"/>
  </sheetViews>
  <sheetFormatPr defaultColWidth="14.42578125" defaultRowHeight="15" customHeight="1"/>
  <cols>
    <col min="1" max="26" width="110" customWidth="1"/>
  </cols>
  <sheetData>
    <row r="1" spans="1:1" ht="14.25" customHeight="1">
      <c r="A1" s="7" t="s">
        <v>403</v>
      </c>
    </row>
    <row r="2" spans="1:1" ht="14.25" customHeight="1">
      <c r="A2" t="s">
        <v>404</v>
      </c>
    </row>
    <row r="3" spans="1:1" ht="14.25" customHeight="1">
      <c r="A3" t="s">
        <v>405</v>
      </c>
    </row>
    <row r="4" spans="1:1" ht="14.25" customHeight="1">
      <c r="A4" t="s">
        <v>406</v>
      </c>
    </row>
    <row r="5" spans="1:1" ht="14.25" customHeight="1">
      <c r="A5" t="s">
        <v>407</v>
      </c>
    </row>
    <row r="6" spans="1:1" ht="14.25" customHeight="1">
      <c r="A6" t="s">
        <v>408</v>
      </c>
    </row>
    <row r="7" spans="1:1" ht="14.25" customHeight="1">
      <c r="A7" t="s">
        <v>409</v>
      </c>
    </row>
    <row r="8" spans="1:1" ht="14.25" customHeight="1">
      <c r="A8" t="s">
        <v>410</v>
      </c>
    </row>
    <row r="9" spans="1:1" ht="14.25" customHeight="1">
      <c r="A9" t="s">
        <v>411</v>
      </c>
    </row>
    <row r="10" spans="1:1" ht="14.25" customHeight="1">
      <c r="A10" t="s">
        <v>412</v>
      </c>
    </row>
    <row r="11" spans="1:1" ht="14.25" customHeight="1">
      <c r="A11" t="s">
        <v>413</v>
      </c>
    </row>
    <row r="12" spans="1:1" ht="14.25" customHeight="1">
      <c r="A12" t="s">
        <v>414</v>
      </c>
    </row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  <headerFooter>
    <oddHeader>&amp;C000000 Diffusione Limitata#_x000D_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1000"/>
  <sheetViews>
    <sheetView workbookViewId="0">
      <selection activeCell="C11" sqref="C11"/>
    </sheetView>
  </sheetViews>
  <sheetFormatPr defaultColWidth="14.42578125" defaultRowHeight="15" customHeight="1"/>
  <cols>
    <col min="1" max="1" width="25" customWidth="1"/>
    <col min="2" max="2" width="12" customWidth="1"/>
    <col min="3" max="26" width="25" customWidth="1"/>
  </cols>
  <sheetData>
    <row r="1" spans="1:2" ht="14.25" customHeight="1">
      <c r="A1" s="3" t="s">
        <v>415</v>
      </c>
      <c r="B1" s="3" t="s">
        <v>416</v>
      </c>
    </row>
    <row r="2" spans="1:2" ht="14.25" customHeight="1">
      <c r="A2" t="s">
        <v>417</v>
      </c>
      <c r="B2">
        <v>2</v>
      </c>
    </row>
    <row r="3" spans="1:2" ht="14.25" customHeight="1">
      <c r="A3" t="s">
        <v>418</v>
      </c>
      <c r="B3">
        <v>1</v>
      </c>
    </row>
    <row r="4" spans="1:2" ht="14.25" customHeight="1">
      <c r="A4" t="s">
        <v>419</v>
      </c>
      <c r="B4">
        <v>3</v>
      </c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  <headerFooter>
    <oddHeader>&amp;C000000 Diffusione Limitata#_x000D_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Utente guest</cp:lastModifiedBy>
  <cp:revision/>
  <dcterms:created xsi:type="dcterms:W3CDTF">2025-09-16T05:42:37Z</dcterms:created>
  <dcterms:modified xsi:type="dcterms:W3CDTF">2026-09-08T12:55:51Z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86ba02-99ae-4f4f-9558-30470b81ac0e_Enabled">
    <vt:lpwstr>true</vt:lpwstr>
  </property>
  <property fmtid="{D5CDD505-2E9C-101B-9397-08002B2CF9AE}" pid="3" name="MSIP_Label_3786ba02-99ae-4f4f-9558-30470b81ac0e_SetDate">
    <vt:lpwstr>2025-09-16T20:12:43Z</vt:lpwstr>
  </property>
  <property fmtid="{D5CDD505-2E9C-101B-9397-08002B2CF9AE}" pid="4" name="MSIP_Label_3786ba02-99ae-4f4f-9558-30470b81ac0e_Method">
    <vt:lpwstr>Standard</vt:lpwstr>
  </property>
  <property fmtid="{D5CDD505-2E9C-101B-9397-08002B2CF9AE}" pid="5" name="MSIP_Label_3786ba02-99ae-4f4f-9558-30470b81ac0e_Name">
    <vt:lpwstr>Controllo Completo(Non protetto)</vt:lpwstr>
  </property>
  <property fmtid="{D5CDD505-2E9C-101B-9397-08002B2CF9AE}" pid="6" name="MSIP_Label_3786ba02-99ae-4f4f-9558-30470b81ac0e_SiteId">
    <vt:lpwstr>e2628090-5865-4e15-a2c3-1367e1ce7dd2</vt:lpwstr>
  </property>
  <property fmtid="{D5CDD505-2E9C-101B-9397-08002B2CF9AE}" pid="7" name="MSIP_Label_3786ba02-99ae-4f4f-9558-30470b81ac0e_ActionId">
    <vt:lpwstr>2d94ee99-0929-4bee-9d19-a595d100b143</vt:lpwstr>
  </property>
  <property fmtid="{D5CDD505-2E9C-101B-9397-08002B2CF9AE}" pid="8" name="MSIP_Label_3786ba02-99ae-4f4f-9558-30470b81ac0e_ContentBits">
    <vt:lpwstr>1</vt:lpwstr>
  </property>
  <property fmtid="{D5CDD505-2E9C-101B-9397-08002B2CF9AE}" pid="9" name="MSIP_Label_3786ba02-99ae-4f4f-9558-30470b81ac0e_Tag">
    <vt:lpwstr>10, 3, 0, 1</vt:lpwstr>
  </property>
</Properties>
</file>